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\polybox - Julian Caredda (jcaredda@student.ethz.ch)@polybox.ethz.ch\BSc-Thesis\Experiments\Testing different payload sizes\2. Series\"/>
    </mc:Choice>
  </mc:AlternateContent>
  <xr:revisionPtr revIDLastSave="0" documentId="13_ncr:1_{F458D81E-D540-4042-BE85-102C3CE5D104}" xr6:coauthVersionLast="47" xr6:coauthVersionMax="47" xr10:uidLastSave="{00000000-0000-0000-0000-000000000000}"/>
  <bookViews>
    <workbookView xWindow="-108" yWindow="-108" windowWidth="23256" windowHeight="12576" activeTab="3" xr2:uid="{7673D7D1-C73D-46F8-BFED-07C9ABA5B5B4}"/>
  </bookViews>
  <sheets>
    <sheet name="Summary" sheetId="1" r:id="rId1"/>
    <sheet name="MByte_s" sheetId="3" r:id="rId2"/>
    <sheet name="MBit_s" sheetId="2" r:id="rId3"/>
    <sheet name="MBit_s (2)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 s="1"/>
  <c r="K3" i="1"/>
  <c r="K4" i="1"/>
  <c r="C3" i="3"/>
  <c r="D3" i="3"/>
  <c r="E3" i="3"/>
  <c r="F3" i="3"/>
  <c r="G3" i="3"/>
  <c r="H3" i="3"/>
  <c r="I3" i="3"/>
  <c r="J3" i="3"/>
  <c r="K3" i="3"/>
  <c r="L3" i="3"/>
  <c r="B3" i="3"/>
  <c r="L3" i="1"/>
  <c r="L4" i="1" s="1"/>
  <c r="C3" i="1"/>
  <c r="C4" i="1" s="1"/>
  <c r="D3" i="1"/>
  <c r="D4" i="1" s="1"/>
  <c r="E3" i="1"/>
  <c r="E4" i="1" s="1"/>
  <c r="F3" i="1"/>
  <c r="F4" i="1" s="1"/>
  <c r="G3" i="1"/>
  <c r="G4" i="1" s="1"/>
  <c r="H3" i="1"/>
  <c r="H4" i="1" s="1"/>
  <c r="I3" i="1"/>
  <c r="I4" i="1" s="1"/>
  <c r="J3" i="1"/>
  <c r="J4" i="1" s="1"/>
  <c r="M3" i="1"/>
  <c r="M4" i="1" s="1"/>
</calcChain>
</file>

<file path=xl/sharedStrings.xml><?xml version="1.0" encoding="utf-8"?>
<sst xmlns="http://schemas.openxmlformats.org/spreadsheetml/2006/main" count="10" uniqueCount="4">
  <si>
    <t>Throughput [Byte/s]</t>
  </si>
  <si>
    <t>Payload size [Bytes]</t>
  </si>
  <si>
    <t>Throughput [MByte/s]</t>
  </si>
  <si>
    <t>Throughput [Mbit/s]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</si>
</sst>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MByte_s!$B$1:$L$1</c:f>
              <c:numCache>
                <c:formatCode>General</c:formatCode>
                <c:ptCount val="11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1459</c:v>
                </c:pt>
                <c:pt idx="5">
                  <c:v>1460</c:v>
                </c:pt>
                <c:pt idx="6">
                  <c:v>1461</c:v>
                </c:pt>
                <c:pt idx="7">
                  <c:v>1462</c:v>
                </c:pt>
                <c:pt idx="8">
                  <c:v>1463</c:v>
                </c:pt>
                <c:pt idx="9">
                  <c:v>1536</c:v>
                </c:pt>
                <c:pt idx="10">
                  <c:v>2048</c:v>
                </c:pt>
              </c:numCache>
            </c:numRef>
          </c:cat>
          <c:val>
            <c:numRef>
              <c:f>MByte_s!$B$2:$L$2</c:f>
              <c:numCache>
                <c:formatCode>General</c:formatCode>
                <c:ptCount val="11"/>
                <c:pt idx="0">
                  <c:v>1.21378955</c:v>
                </c:pt>
                <c:pt idx="1">
                  <c:v>1.3969890300000001</c:v>
                </c:pt>
                <c:pt idx="2">
                  <c:v>1.55500113</c:v>
                </c:pt>
                <c:pt idx="3">
                  <c:v>1.6745432900000001</c:v>
                </c:pt>
                <c:pt idx="4">
                  <c:v>1.7270937</c:v>
                </c:pt>
                <c:pt idx="5">
                  <c:v>1.72430843</c:v>
                </c:pt>
                <c:pt idx="6">
                  <c:v>1.7609104099999999</c:v>
                </c:pt>
                <c:pt idx="7">
                  <c:v>1.78322746</c:v>
                </c:pt>
                <c:pt idx="8">
                  <c:v>1.79095154</c:v>
                </c:pt>
                <c:pt idx="9">
                  <c:v>1.7839212900000001</c:v>
                </c:pt>
                <c:pt idx="10">
                  <c:v>1.69511313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4E-4B91-B451-E986C444F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0315023"/>
        <c:axId val="1760305423"/>
      </c:barChart>
      <c:catAx>
        <c:axId val="176031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60305423"/>
        <c:crosses val="autoZero"/>
        <c:auto val="1"/>
        <c:lblAlgn val="ctr"/>
        <c:lblOffset val="100"/>
        <c:noMultiLvlLbl val="0"/>
      </c:catAx>
      <c:valAx>
        <c:axId val="176030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60315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Data-rate[MBit/s] vs Payload Size[Byte]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MBit_s!$B$1:$L$1</c:f>
              <c:numCache>
                <c:formatCode>General</c:formatCode>
                <c:ptCount val="11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1459</c:v>
                </c:pt>
                <c:pt idx="5">
                  <c:v>1460</c:v>
                </c:pt>
                <c:pt idx="6">
                  <c:v>1461</c:v>
                </c:pt>
                <c:pt idx="7">
                  <c:v>1462</c:v>
                </c:pt>
                <c:pt idx="8">
                  <c:v>1463</c:v>
                </c:pt>
                <c:pt idx="9">
                  <c:v>1536</c:v>
                </c:pt>
                <c:pt idx="10">
                  <c:v>2048</c:v>
                </c:pt>
              </c:numCache>
            </c:numRef>
          </c:cat>
          <c:val>
            <c:numRef>
              <c:f>MBit_s!$B$2:$L$2</c:f>
              <c:numCache>
                <c:formatCode>General</c:formatCode>
                <c:ptCount val="11"/>
                <c:pt idx="0">
                  <c:v>9.7103164</c:v>
                </c:pt>
                <c:pt idx="1">
                  <c:v>11.175912240000001</c:v>
                </c:pt>
                <c:pt idx="2">
                  <c:v>12.44000904</c:v>
                </c:pt>
                <c:pt idx="3">
                  <c:v>13.396346320000001</c:v>
                </c:pt>
                <c:pt idx="4">
                  <c:v>13.8167496</c:v>
                </c:pt>
                <c:pt idx="5">
                  <c:v>13.79446744</c:v>
                </c:pt>
                <c:pt idx="6">
                  <c:v>14.087283279999999</c:v>
                </c:pt>
                <c:pt idx="7">
                  <c:v>14.26581968</c:v>
                </c:pt>
                <c:pt idx="8">
                  <c:v>14.32761232</c:v>
                </c:pt>
                <c:pt idx="9">
                  <c:v>14.271370320000001</c:v>
                </c:pt>
                <c:pt idx="10">
                  <c:v>13.56090504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41-4FFE-98CC-5F6F7240D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7724943"/>
        <c:axId val="1757720623"/>
      </c:barChart>
      <c:catAx>
        <c:axId val="175772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57720623"/>
        <c:crosses val="autoZero"/>
        <c:auto val="1"/>
        <c:lblAlgn val="ctr"/>
        <c:lblOffset val="100"/>
        <c:noMultiLvlLbl val="0"/>
      </c:catAx>
      <c:valAx>
        <c:axId val="175772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5772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Data-rate[MBit/s] vs Payload Size[Byte]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'MBit_s (2)'!$B$1:$L$1</c:f>
              <c:numCache>
                <c:formatCode>General</c:formatCode>
                <c:ptCount val="11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1459</c:v>
                </c:pt>
                <c:pt idx="5">
                  <c:v>1460</c:v>
                </c:pt>
                <c:pt idx="6">
                  <c:v>1461</c:v>
                </c:pt>
                <c:pt idx="7">
                  <c:v>1462</c:v>
                </c:pt>
                <c:pt idx="8">
                  <c:v>1463</c:v>
                </c:pt>
                <c:pt idx="9">
                  <c:v>1536</c:v>
                </c:pt>
                <c:pt idx="10">
                  <c:v>2048</c:v>
                </c:pt>
              </c:numCache>
            </c:numRef>
          </c:cat>
          <c:val>
            <c:numRef>
              <c:f>'MBit_s (2)'!$B$2:$L$2</c:f>
              <c:numCache>
                <c:formatCode>General</c:formatCode>
                <c:ptCount val="11"/>
                <c:pt idx="0">
                  <c:v>9.7100000000000009</c:v>
                </c:pt>
                <c:pt idx="1">
                  <c:v>11.18</c:v>
                </c:pt>
                <c:pt idx="2">
                  <c:v>12.44</c:v>
                </c:pt>
                <c:pt idx="3">
                  <c:v>13.4</c:v>
                </c:pt>
                <c:pt idx="4">
                  <c:v>13.82</c:v>
                </c:pt>
                <c:pt idx="5">
                  <c:v>13.8</c:v>
                </c:pt>
                <c:pt idx="6">
                  <c:v>14.09</c:v>
                </c:pt>
                <c:pt idx="7">
                  <c:v>14.27</c:v>
                </c:pt>
                <c:pt idx="8">
                  <c:v>14.33</c:v>
                </c:pt>
                <c:pt idx="9">
                  <c:v>14.27</c:v>
                </c:pt>
                <c:pt idx="10">
                  <c:v>13.56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C-478D-B469-7A288CA9C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7724943"/>
        <c:axId val="1757720623"/>
      </c:barChart>
      <c:catAx>
        <c:axId val="175772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57720623"/>
        <c:crosses val="autoZero"/>
        <c:auto val="1"/>
        <c:lblAlgn val="ctr"/>
        <c:lblOffset val="100"/>
        <c:noMultiLvlLbl val="0"/>
      </c:catAx>
      <c:valAx>
        <c:axId val="175772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5772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4</xdr:row>
      <xdr:rowOff>15240</xdr:rowOff>
    </xdr:from>
    <xdr:to>
      <xdr:col>12</xdr:col>
      <xdr:colOff>213360</xdr:colOff>
      <xdr:row>28</xdr:row>
      <xdr:rowOff>15240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F4283FA-16F8-7950-9223-D2D8D5B4D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312420</xdr:colOff>
      <xdr:row>2</xdr:row>
      <xdr:rowOff>121920</xdr:rowOff>
    </xdr:from>
    <xdr:to>
      <xdr:col>11</xdr:col>
      <xdr:colOff>548640</xdr:colOff>
      <xdr:row>28</xdr:row>
      <xdr:rowOff>53340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80262001-3130-60FC-219D-13F97ADEB3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312420</xdr:colOff>
      <xdr:row>2</xdr:row>
      <xdr:rowOff>121920</xdr:rowOff>
    </xdr:from>
    <xdr:to>
      <xdr:col>11</xdr:col>
      <xdr:colOff>548640</xdr:colOff>
      <xdr:row>28</xdr:row>
      <xdr:rowOff>53340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21AF95A-4AAF-4F96-B019-D1F09A2B17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53024-51E1-4C5D-ADD0-2A336F54C705}">
  <dimension ref="A1:M4"/>
  <sheetViews>
    <sheetView workbookViewId="0">
      <selection activeCell="B3" sqref="B3"/>
    </sheetView>
  </sheetViews>
  <sheetFormatPr baseColWidth="10" defaultRowHeight="14.4" x14ac:dyDescent="0.3"/>
  <cols>
    <col min="1" max="1" width="26" customWidth="1"/>
  </cols>
  <sheetData>
    <row r="1" spans="1:13" x14ac:dyDescent="0.3">
      <c r="A1" t="s">
        <v>1</v>
      </c>
      <c r="B1">
        <v>128</v>
      </c>
      <c r="C1">
        <v>256</v>
      </c>
      <c r="D1">
        <v>512</v>
      </c>
      <c r="E1">
        <v>1024</v>
      </c>
      <c r="F1">
        <v>1459</v>
      </c>
      <c r="G1">
        <v>1460</v>
      </c>
      <c r="H1">
        <v>1461</v>
      </c>
      <c r="I1">
        <v>1462</v>
      </c>
      <c r="J1">
        <v>1463</v>
      </c>
      <c r="K1">
        <v>1499</v>
      </c>
      <c r="L1">
        <v>1536</v>
      </c>
      <c r="M1">
        <v>2048</v>
      </c>
    </row>
    <row r="2" spans="1:13" x14ac:dyDescent="0.3">
      <c r="A2" t="s">
        <v>0</v>
      </c>
      <c r="B2">
        <v>1213789.55</v>
      </c>
      <c r="C2">
        <v>1396989.03</v>
      </c>
      <c r="D2">
        <v>1555001.13</v>
      </c>
      <c r="E2">
        <v>1674543.29</v>
      </c>
      <c r="F2">
        <v>1727093.7</v>
      </c>
      <c r="G2">
        <v>1724308.43</v>
      </c>
      <c r="H2">
        <v>1760910.41</v>
      </c>
      <c r="I2">
        <v>1783227.46</v>
      </c>
      <c r="J2">
        <v>1790951.54</v>
      </c>
      <c r="K2">
        <v>1740526.76</v>
      </c>
      <c r="L2">
        <v>1783921.29</v>
      </c>
      <c r="M2">
        <v>1695113.13</v>
      </c>
    </row>
    <row r="3" spans="1:13" x14ac:dyDescent="0.3">
      <c r="A3" t="s">
        <v>2</v>
      </c>
      <c r="B3">
        <f>SUM(B2/1000000)</f>
        <v>1.21378955</v>
      </c>
      <c r="C3">
        <f t="shared" ref="C3:M3" si="0">SUM(C2/1000000)</f>
        <v>1.3969890300000001</v>
      </c>
      <c r="D3">
        <f t="shared" si="0"/>
        <v>1.55500113</v>
      </c>
      <c r="E3">
        <f t="shared" si="0"/>
        <v>1.6745432900000001</v>
      </c>
      <c r="F3">
        <f t="shared" si="0"/>
        <v>1.7270937</v>
      </c>
      <c r="G3">
        <f t="shared" si="0"/>
        <v>1.72430843</v>
      </c>
      <c r="H3">
        <f t="shared" si="0"/>
        <v>1.7609104099999999</v>
      </c>
      <c r="I3">
        <f t="shared" si="0"/>
        <v>1.78322746</v>
      </c>
      <c r="J3">
        <f t="shared" si="0"/>
        <v>1.79095154</v>
      </c>
      <c r="K3">
        <f t="shared" si="0"/>
        <v>1.7405267600000001</v>
      </c>
      <c r="L3">
        <f t="shared" si="0"/>
        <v>1.7839212900000001</v>
      </c>
      <c r="M3">
        <f t="shared" si="0"/>
        <v>1.69511313</v>
      </c>
    </row>
    <row r="4" spans="1:13" x14ac:dyDescent="0.3">
      <c r="A4" t="s">
        <v>3</v>
      </c>
      <c r="B4">
        <f>SUM(B3*8)</f>
        <v>9.7103164</v>
      </c>
      <c r="C4">
        <f t="shared" ref="C4:M4" si="1">SUM(C3*8)</f>
        <v>11.175912240000001</v>
      </c>
      <c r="D4">
        <f t="shared" si="1"/>
        <v>12.44000904</v>
      </c>
      <c r="E4">
        <f t="shared" si="1"/>
        <v>13.396346320000001</v>
      </c>
      <c r="F4">
        <f t="shared" si="1"/>
        <v>13.8167496</v>
      </c>
      <c r="G4">
        <f t="shared" si="1"/>
        <v>13.79446744</v>
      </c>
      <c r="H4">
        <f t="shared" si="1"/>
        <v>14.087283279999999</v>
      </c>
      <c r="I4">
        <f t="shared" si="1"/>
        <v>14.26581968</v>
      </c>
      <c r="J4">
        <f t="shared" si="1"/>
        <v>14.32761232</v>
      </c>
      <c r="K4">
        <f t="shared" si="1"/>
        <v>13.92421408</v>
      </c>
      <c r="L4">
        <f t="shared" si="1"/>
        <v>14.271370320000001</v>
      </c>
      <c r="M4">
        <f t="shared" si="1"/>
        <v>13.56090504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5F38F-8C90-415D-9AE1-20FD343E4D63}">
  <dimension ref="A1:L3"/>
  <sheetViews>
    <sheetView workbookViewId="0">
      <selection activeCell="B3" sqref="B3"/>
    </sheetView>
  </sheetViews>
  <sheetFormatPr baseColWidth="10" defaultRowHeight="14.4" x14ac:dyDescent="0.3"/>
  <cols>
    <col min="1" max="1" width="25.21875" customWidth="1"/>
  </cols>
  <sheetData>
    <row r="1" spans="1:12" x14ac:dyDescent="0.3">
      <c r="A1" t="s">
        <v>1</v>
      </c>
      <c r="B1">
        <v>128</v>
      </c>
      <c r="C1">
        <v>256</v>
      </c>
      <c r="D1">
        <v>512</v>
      </c>
      <c r="E1">
        <v>1024</v>
      </c>
      <c r="F1">
        <v>1459</v>
      </c>
      <c r="G1">
        <v>1460</v>
      </c>
      <c r="H1">
        <v>1461</v>
      </c>
      <c r="I1">
        <v>1462</v>
      </c>
      <c r="J1">
        <v>1463</v>
      </c>
      <c r="K1">
        <v>1536</v>
      </c>
      <c r="L1">
        <v>2048</v>
      </c>
    </row>
    <row r="2" spans="1:12" x14ac:dyDescent="0.3">
      <c r="A2" t="s">
        <v>2</v>
      </c>
      <c r="B2">
        <v>1.21378955</v>
      </c>
      <c r="C2">
        <v>1.3969890300000001</v>
      </c>
      <c r="D2">
        <v>1.55500113</v>
      </c>
      <c r="E2">
        <v>1.6745432900000001</v>
      </c>
      <c r="F2">
        <v>1.7270937</v>
      </c>
      <c r="G2">
        <v>1.72430843</v>
      </c>
      <c r="H2">
        <v>1.7609104099999999</v>
      </c>
      <c r="I2">
        <v>1.78322746</v>
      </c>
      <c r="J2">
        <v>1.79095154</v>
      </c>
      <c r="K2">
        <v>1.7839212900000001</v>
      </c>
      <c r="L2">
        <v>1.69511313</v>
      </c>
    </row>
    <row r="3" spans="1:12" x14ac:dyDescent="0.3">
      <c r="B3">
        <f>SUM(B1/B2)</f>
        <v>105.45485417962281</v>
      </c>
      <c r="C3">
        <f t="shared" ref="C3:L3" si="0">SUM(C1/C2)</f>
        <v>183.25126003315859</v>
      </c>
      <c r="D3">
        <f t="shared" si="0"/>
        <v>329.2602108912937</v>
      </c>
      <c r="E3">
        <f t="shared" si="0"/>
        <v>611.51001954688195</v>
      </c>
      <c r="F3">
        <f t="shared" si="0"/>
        <v>844.77176889707835</v>
      </c>
      <c r="G3">
        <f t="shared" si="0"/>
        <v>846.71626873621449</v>
      </c>
      <c r="H3">
        <f t="shared" si="0"/>
        <v>829.6844585068925</v>
      </c>
      <c r="I3">
        <f t="shared" si="0"/>
        <v>819.86175784888371</v>
      </c>
      <c r="J3">
        <f t="shared" si="0"/>
        <v>816.88419107085383</v>
      </c>
      <c r="K3">
        <f t="shared" si="0"/>
        <v>861.02453544909474</v>
      </c>
      <c r="L3">
        <f t="shared" si="0"/>
        <v>1208.1789490946837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941AC-75D5-4FE7-A134-E789F197C6E2}">
  <dimension ref="A1:L2"/>
  <sheetViews>
    <sheetView workbookViewId="0">
      <selection activeCell="L2" sqref="B2:L2"/>
    </sheetView>
  </sheetViews>
  <sheetFormatPr baseColWidth="10" defaultRowHeight="14.4" x14ac:dyDescent="0.3"/>
  <cols>
    <col min="1" max="1" width="24.5546875" customWidth="1"/>
  </cols>
  <sheetData>
    <row r="1" spans="1:12" x14ac:dyDescent="0.3">
      <c r="A1" t="s">
        <v>1</v>
      </c>
      <c r="B1">
        <v>128</v>
      </c>
      <c r="C1">
        <v>256</v>
      </c>
      <c r="D1">
        <v>512</v>
      </c>
      <c r="E1">
        <v>1024</v>
      </c>
      <c r="F1">
        <v>1459</v>
      </c>
      <c r="G1">
        <v>1460</v>
      </c>
      <c r="H1">
        <v>1461</v>
      </c>
      <c r="I1">
        <v>1462</v>
      </c>
      <c r="J1">
        <v>1463</v>
      </c>
      <c r="K1">
        <v>1536</v>
      </c>
      <c r="L1">
        <v>2048</v>
      </c>
    </row>
    <row r="2" spans="1:12" x14ac:dyDescent="0.3">
      <c r="A2" t="s">
        <v>3</v>
      </c>
      <c r="B2">
        <v>9.7103164</v>
      </c>
      <c r="C2">
        <v>11.175912240000001</v>
      </c>
      <c r="D2">
        <v>12.44000904</v>
      </c>
      <c r="E2">
        <v>13.396346320000001</v>
      </c>
      <c r="F2">
        <v>13.8167496</v>
      </c>
      <c r="G2">
        <v>13.79446744</v>
      </c>
      <c r="H2">
        <v>14.087283279999999</v>
      </c>
      <c r="I2">
        <v>14.26581968</v>
      </c>
      <c r="J2">
        <v>14.32761232</v>
      </c>
      <c r="K2">
        <v>14.271370320000001</v>
      </c>
      <c r="L2">
        <v>13.56090504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96AB0-8813-4ED5-8247-8E347528E040}">
  <dimension ref="A1:L2"/>
  <sheetViews>
    <sheetView tabSelected="1" workbookViewId="0">
      <selection activeCell="L3" sqref="L3"/>
    </sheetView>
  </sheetViews>
  <sheetFormatPr baseColWidth="10" defaultRowHeight="14.4" x14ac:dyDescent="0.3"/>
  <cols>
    <col min="1" max="1" width="24.5546875" customWidth="1"/>
  </cols>
  <sheetData>
    <row r="1" spans="1:12" x14ac:dyDescent="0.3">
      <c r="A1" t="s">
        <v>1</v>
      </c>
      <c r="B1">
        <v>128</v>
      </c>
      <c r="C1">
        <v>256</v>
      </c>
      <c r="D1">
        <v>512</v>
      </c>
      <c r="E1">
        <v>1024</v>
      </c>
      <c r="F1">
        <v>1459</v>
      </c>
      <c r="G1">
        <v>1460</v>
      </c>
      <c r="H1">
        <v>1461</v>
      </c>
      <c r="I1">
        <v>1462</v>
      </c>
      <c r="J1">
        <v>1463</v>
      </c>
      <c r="K1">
        <v>1536</v>
      </c>
      <c r="L1">
        <v>2048</v>
      </c>
    </row>
    <row r="2" spans="1:12" x14ac:dyDescent="0.3">
      <c r="A2" t="s">
        <v>3</v>
      </c>
      <c r="B2">
        <v>9.7100000000000009</v>
      </c>
      <c r="C2">
        <v>11.18</v>
      </c>
      <c r="D2">
        <v>12.44</v>
      </c>
      <c r="E2">
        <v>13.4</v>
      </c>
      <c r="F2">
        <v>13.82</v>
      </c>
      <c r="G2">
        <v>13.8</v>
      </c>
      <c r="H2">
        <v>14.09</v>
      </c>
      <c r="I2">
        <v>14.27</v>
      </c>
      <c r="J2">
        <v>14.33</v>
      </c>
      <c r="K2">
        <v>14.27</v>
      </c>
      <c r="L2">
        <v>13.56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Summary</vt:lpstr>
      <vt:lpstr>MByte_s</vt:lpstr>
      <vt:lpstr>MBit_s</vt:lpstr>
      <vt:lpstr>MBit_s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Caredda</dc:creator>
  <cp:lastModifiedBy>Julian Caredda</cp:lastModifiedBy>
  <dcterms:created xsi:type="dcterms:W3CDTF">2024-11-09T17:21:28Z</dcterms:created>
  <dcterms:modified xsi:type="dcterms:W3CDTF">2025-01-20T20:56:21Z</dcterms:modified>
</cp:coreProperties>
</file>