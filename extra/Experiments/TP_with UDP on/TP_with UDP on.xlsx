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julia\polybox - Julian Caredda (jcaredda@student.ethz.ch)@polybox.ethz.ch\BSc-Thesis\Experiments\TP_with UDP on\"/>
    </mc:Choice>
  </mc:AlternateContent>
  <xr:revisionPtr revIDLastSave="0" documentId="13_ncr:1_{C883EDCE-73A0-43AB-B536-8A37D9417E9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 s="1"/>
  <c r="C5" i="1" s="1"/>
  <c r="D3" i="1"/>
  <c r="D4" i="1" s="1"/>
  <c r="D5" i="1" s="1"/>
  <c r="E3" i="1"/>
  <c r="E4" i="1" s="1"/>
  <c r="E5" i="1" s="1"/>
  <c r="F3" i="1"/>
  <c r="F4" i="1" s="1"/>
  <c r="F5" i="1" s="1"/>
  <c r="G3" i="1"/>
  <c r="G4" i="1" s="1"/>
  <c r="G5" i="1" s="1"/>
  <c r="H3" i="1"/>
  <c r="H4" i="1" s="1"/>
  <c r="H5" i="1" s="1"/>
  <c r="B3" i="1"/>
  <c r="B4" i="1" s="1"/>
  <c r="B5" i="1" s="1"/>
</calcChain>
</file>

<file path=xl/sharedStrings.xml><?xml version="1.0" encoding="utf-8"?>
<sst xmlns="http://schemas.openxmlformats.org/spreadsheetml/2006/main" count="26" uniqueCount="10">
  <si>
    <t>M1</t>
  </si>
  <si>
    <t>M2</t>
  </si>
  <si>
    <t>M3</t>
  </si>
  <si>
    <t>M4</t>
  </si>
  <si>
    <t>M5</t>
  </si>
  <si>
    <t>M6</t>
  </si>
  <si>
    <t>M7</t>
  </si>
  <si>
    <t>Average Data rate [Byte/Second]</t>
  </si>
  <si>
    <t>Average Data rate [MByte/Second]</t>
  </si>
  <si>
    <t>Average Data rate [MBit/Second]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</si>
</sst>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Tabelle1!$A$11</c:f>
              <c:strCache>
                <c:ptCount val="1"/>
                <c:pt idx="0">
                  <c:v>Average Data rate [MBit/Second]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Tabelle1!$B$10:$H$10</c:f>
              <c:strCache>
                <c:ptCount val="7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</c:strCache>
            </c:strRef>
          </c:cat>
          <c:val>
            <c:numRef>
              <c:f>Tabelle1!$B$11:$H$11</c:f>
              <c:numCache>
                <c:formatCode>General</c:formatCode>
                <c:ptCount val="7"/>
                <c:pt idx="0">
                  <c:v>10.57</c:v>
                </c:pt>
                <c:pt idx="1">
                  <c:v>8.56</c:v>
                </c:pt>
                <c:pt idx="2">
                  <c:v>10.98</c:v>
                </c:pt>
                <c:pt idx="3">
                  <c:v>13.04</c:v>
                </c:pt>
                <c:pt idx="4">
                  <c:v>12.04</c:v>
                </c:pt>
                <c:pt idx="5">
                  <c:v>11.03</c:v>
                </c:pt>
                <c:pt idx="6">
                  <c:v>11.68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2D-4481-9306-DCDE7F3B0A7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79429264"/>
        <c:axId val="679429744"/>
      </c:barChart>
      <c:catAx>
        <c:axId val="67942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79429744"/>
        <c:crosses val="autoZero"/>
        <c:auto val="1"/>
        <c:lblAlgn val="ctr"/>
        <c:lblOffset val="100"/>
        <c:noMultiLvlLbl val="0"/>
      </c:catAx>
      <c:valAx>
        <c:axId val="67942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79429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Tabelle1!$L$11</c:f>
              <c:strCache>
                <c:ptCount val="1"/>
                <c:pt idx="0">
                  <c:v>Average Data rate [MBit/Second]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Tabelle1!$M$10:$R$10</c:f>
              <c:strCache>
                <c:ptCount val="6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M7</c:v>
                </c:pt>
              </c:strCache>
            </c:strRef>
          </c:cat>
          <c:val>
            <c:numRef>
              <c:f>Tabelle1!$M$11:$R$11</c:f>
              <c:numCache>
                <c:formatCode>General</c:formatCode>
                <c:ptCount val="6"/>
                <c:pt idx="0">
                  <c:v>10.57</c:v>
                </c:pt>
                <c:pt idx="1">
                  <c:v>8.56</c:v>
                </c:pt>
                <c:pt idx="2">
                  <c:v>10.98</c:v>
                </c:pt>
                <c:pt idx="3">
                  <c:v>13.04</c:v>
                </c:pt>
                <c:pt idx="4">
                  <c:v>12.04</c:v>
                </c:pt>
                <c:pt idx="5">
                  <c:v>11.68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E7-4431-B9D6-695B393E468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79441744"/>
        <c:axId val="679443184"/>
      </c:barChart>
      <c:catAx>
        <c:axId val="679441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79443184"/>
        <c:crosses val="autoZero"/>
        <c:auto val="1"/>
        <c:lblAlgn val="ctr"/>
        <c:lblOffset val="100"/>
        <c:noMultiLvlLbl val="0"/>
      </c:catAx>
      <c:valAx>
        <c:axId val="67944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79441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1002030</xdr:colOff>
      <xdr:row>17</xdr:row>
      <xdr:rowOff>8572</xdr:rowOff>
    </xdr:from>
    <xdr:to>
      <xdr:col>7</xdr:col>
      <xdr:colOff>400050</xdr:colOff>
      <xdr:row>34</xdr:row>
      <xdr:rowOff>9525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C9A8422-8F44-179D-3645-8A654C7B45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653415</xdr:colOff>
      <xdr:row>16</xdr:row>
      <xdr:rowOff>172402</xdr:rowOff>
    </xdr:from>
    <xdr:to>
      <xdr:col>17</xdr:col>
      <xdr:colOff>40005</xdr:colOff>
      <xdr:row>32</xdr:row>
      <xdr:rowOff>27622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86AD14A7-934E-655D-1AE5-91283B2AFE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"/>
  <sheetViews>
    <sheetView tabSelected="1" workbookViewId="0">
      <selection activeCell="J23" sqref="J23"/>
    </sheetView>
  </sheetViews>
  <sheetFormatPr baseColWidth="10" defaultColWidth="8.88671875" defaultRowHeight="14.4" x14ac:dyDescent="0.3"/>
  <cols>
    <col min="1" max="1" width="32.5546875" customWidth="1"/>
    <col min="3" max="4" width="10" bestFit="1" customWidth="1"/>
    <col min="6" max="8" width="10" bestFit="1" customWidth="1"/>
    <col min="12" max="12" width="31.21875" customWidth="1"/>
  </cols>
  <sheetData>
    <row r="1" spans="1:18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18" x14ac:dyDescent="0.3">
      <c r="A2" t="s">
        <v>7</v>
      </c>
      <c r="B2">
        <v>1320923.58</v>
      </c>
      <c r="C2">
        <v>1069383.81</v>
      </c>
      <c r="D2">
        <v>1372046.37</v>
      </c>
      <c r="E2">
        <v>1630520</v>
      </c>
      <c r="F2">
        <v>1505568.57</v>
      </c>
      <c r="G2">
        <v>1378898.58</v>
      </c>
      <c r="H2">
        <v>1459784.22</v>
      </c>
    </row>
    <row r="3" spans="1:18" x14ac:dyDescent="0.3">
      <c r="A3" t="s">
        <v>8</v>
      </c>
      <c r="B3">
        <f>SUM(B2/1000000)</f>
        <v>1.3209235800000001</v>
      </c>
      <c r="C3">
        <f t="shared" ref="C3:H3" si="0">SUM(C2/1000000)</f>
        <v>1.0693838100000002</v>
      </c>
      <c r="D3">
        <f t="shared" si="0"/>
        <v>1.3720463700000001</v>
      </c>
      <c r="E3">
        <f t="shared" si="0"/>
        <v>1.63052</v>
      </c>
      <c r="F3">
        <f t="shared" si="0"/>
        <v>1.5055685700000001</v>
      </c>
      <c r="G3">
        <f t="shared" si="0"/>
        <v>1.37889858</v>
      </c>
      <c r="H3">
        <f t="shared" si="0"/>
        <v>1.45978422</v>
      </c>
    </row>
    <row r="4" spans="1:18" x14ac:dyDescent="0.3">
      <c r="A4" t="s">
        <v>9</v>
      </c>
      <c r="B4">
        <f>SUM(B3*8)</f>
        <v>10.567388640000001</v>
      </c>
      <c r="C4">
        <f t="shared" ref="C4:H4" si="1">SUM(C3*8)</f>
        <v>8.5550704800000013</v>
      </c>
      <c r="D4">
        <f t="shared" si="1"/>
        <v>10.976370960000001</v>
      </c>
      <c r="E4">
        <f t="shared" si="1"/>
        <v>13.04416</v>
      </c>
      <c r="F4">
        <f t="shared" si="1"/>
        <v>12.044548560000001</v>
      </c>
      <c r="G4">
        <f t="shared" si="1"/>
        <v>11.03118864</v>
      </c>
      <c r="H4">
        <f t="shared" si="1"/>
        <v>11.67827376</v>
      </c>
    </row>
    <row r="5" spans="1:18" x14ac:dyDescent="0.3">
      <c r="A5" t="s">
        <v>9</v>
      </c>
      <c r="B5">
        <f>ROUND(B4,2)</f>
        <v>10.57</v>
      </c>
      <c r="C5">
        <f t="shared" ref="C5:H5" si="2">ROUND(C4,2)</f>
        <v>8.56</v>
      </c>
      <c r="D5">
        <f t="shared" si="2"/>
        <v>10.98</v>
      </c>
      <c r="E5">
        <f t="shared" si="2"/>
        <v>13.04</v>
      </c>
      <c r="F5">
        <f t="shared" si="2"/>
        <v>12.04</v>
      </c>
      <c r="G5">
        <f t="shared" si="2"/>
        <v>11.03</v>
      </c>
      <c r="H5">
        <f t="shared" si="2"/>
        <v>11.68</v>
      </c>
    </row>
    <row r="10" spans="1:18" x14ac:dyDescent="0.3">
      <c r="B10" t="s">
        <v>0</v>
      </c>
      <c r="C10" t="s">
        <v>1</v>
      </c>
      <c r="D10" t="s">
        <v>2</v>
      </c>
      <c r="E10" t="s">
        <v>3</v>
      </c>
      <c r="F10" t="s">
        <v>4</v>
      </c>
      <c r="G10" t="s">
        <v>5</v>
      </c>
      <c r="H10" t="s">
        <v>6</v>
      </c>
      <c r="M10" t="s">
        <v>0</v>
      </c>
      <c r="N10" t="s">
        <v>1</v>
      </c>
      <c r="O10" t="s">
        <v>2</v>
      </c>
      <c r="P10" t="s">
        <v>3</v>
      </c>
      <c r="Q10" t="s">
        <v>4</v>
      </c>
      <c r="R10" t="s">
        <v>6</v>
      </c>
    </row>
    <row r="11" spans="1:18" x14ac:dyDescent="0.3">
      <c r="A11" t="s">
        <v>9</v>
      </c>
      <c r="B11">
        <v>10.57</v>
      </c>
      <c r="C11">
        <v>8.56</v>
      </c>
      <c r="D11">
        <v>10.98</v>
      </c>
      <c r="E11">
        <v>13.04</v>
      </c>
      <c r="F11">
        <v>12.04</v>
      </c>
      <c r="G11">
        <v>11.03</v>
      </c>
      <c r="H11">
        <v>11.68</v>
      </c>
      <c r="L11" t="s">
        <v>9</v>
      </c>
      <c r="M11">
        <v>10.57</v>
      </c>
      <c r="N11">
        <v>8.56</v>
      </c>
      <c r="O11">
        <v>10.98</v>
      </c>
      <c r="P11">
        <v>13.04</v>
      </c>
      <c r="Q11">
        <v>12.04</v>
      </c>
      <c r="R11">
        <v>11.68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Caredda</dc:creator>
  <cp:lastModifiedBy>Julian Caredda</cp:lastModifiedBy>
  <dcterms:created xsi:type="dcterms:W3CDTF">2015-06-05T18:19:34Z</dcterms:created>
  <dcterms:modified xsi:type="dcterms:W3CDTF">2025-01-21T20:43:00Z</dcterms:modified>
</cp:coreProperties>
</file>