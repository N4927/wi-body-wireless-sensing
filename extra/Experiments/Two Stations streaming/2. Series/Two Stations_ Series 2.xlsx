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julia\polybox - Julian Caredda (jcaredda@student.ethz.ch)@polybox.ethz.ch\BSc-Thesis\Experiments\Two Stations streaming\2. Series\"/>
    </mc:Choice>
  </mc:AlternateContent>
  <xr:revisionPtr revIDLastSave="0" documentId="13_ncr:1_{18EBA413-C26B-4D6C-A958-7DB6C56A04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ary" sheetId="1" r:id="rId1"/>
    <sheet name="Summary_Mbit_S" sheetId="3" r:id="rId2"/>
    <sheet name="per device_MBit_S" sheetId="4" r:id="rId3"/>
    <sheet name="per devic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B5" i="4"/>
  <c r="C4" i="4"/>
  <c r="B4" i="4"/>
  <c r="C3" i="4"/>
  <c r="B3" i="4"/>
  <c r="C4" i="3"/>
  <c r="B4" i="3"/>
  <c r="C3" i="3"/>
  <c r="B3" i="3"/>
  <c r="C3" i="2"/>
  <c r="B3" i="2"/>
</calcChain>
</file>

<file path=xl/sharedStrings.xml><?xml version="1.0" encoding="utf-8"?>
<sst xmlns="http://schemas.openxmlformats.org/spreadsheetml/2006/main" count="17" uniqueCount="6">
  <si>
    <t>1 STA</t>
  </si>
  <si>
    <t>2 STA</t>
  </si>
  <si>
    <t>Average Throughput [Byte/Second]</t>
  </si>
  <si>
    <t>Average Throughput per Device [Byte/Second]</t>
  </si>
  <si>
    <t>Average Throughput [MBit/Second]</t>
  </si>
  <si>
    <t>Average Throughput per Device [MBit/Second]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</si>
</sst>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  <c:pt idx="0">
                  <c:v>Average Throughput [Byte/Second]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Summary!$B$1:$C$1</c:f>
              <c:strCache>
                <c:ptCount val="2"/>
                <c:pt idx="0">
                  <c:v>1 STA</c:v>
                </c:pt>
                <c:pt idx="1">
                  <c:v>2 STA</c:v>
                </c:pt>
              </c:strCache>
            </c:strRef>
          </c:cat>
          <c:val>
            <c:numRef>
              <c:f>Summary!$B$2:$C$2</c:f>
              <c:numCache>
                <c:formatCode>General</c:formatCode>
                <c:ptCount val="2"/>
                <c:pt idx="0">
                  <c:v>195187.47</c:v>
                </c:pt>
                <c:pt idx="1">
                  <c:v>374554.3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093-8163-084723D51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3407408"/>
        <c:axId val="1073409328"/>
      </c:barChart>
      <c:catAx>
        <c:axId val="107340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3409328"/>
        <c:crosses val="autoZero"/>
        <c:auto val="1"/>
        <c:lblAlgn val="ctr"/>
        <c:lblOffset val="100"/>
        <c:noMultiLvlLbl val="0"/>
      </c:catAx>
      <c:valAx>
        <c:axId val="107340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340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Summary_Mbit_S!$A$9</c:f>
              <c:strCache>
                <c:ptCount val="1"/>
                <c:pt idx="0">
                  <c:v>Average Throughput [MBit/Second]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Summary_Mbit_S!$B$8:$C$8</c:f>
              <c:strCache>
                <c:ptCount val="2"/>
                <c:pt idx="0">
                  <c:v>1 STA</c:v>
                </c:pt>
                <c:pt idx="1">
                  <c:v>2 STA</c:v>
                </c:pt>
              </c:strCache>
            </c:strRef>
          </c:cat>
          <c:val>
            <c:numRef>
              <c:f>Summary_Mbit_S!$B$9:$C$9</c:f>
              <c:numCache>
                <c:formatCode>General</c:formatCode>
                <c:ptCount val="2"/>
                <c:pt idx="0">
                  <c:v>1.56149976</c:v>
                </c:pt>
                <c:pt idx="1">
                  <c:v>2.9964344000000001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F-4A3F-80E0-9B2E53E64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482624"/>
        <c:axId val="1079483104"/>
      </c:barChart>
      <c:catAx>
        <c:axId val="107948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9483104"/>
        <c:crosses val="autoZero"/>
        <c:auto val="1"/>
        <c:lblAlgn val="ctr"/>
        <c:lblOffset val="100"/>
        <c:noMultiLvlLbl val="0"/>
      </c:catAx>
      <c:valAx>
        <c:axId val="10794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948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 device_MBit_S'!$A$10</c:f>
              <c:strCache>
                <c:ptCount val="1"/>
                <c:pt idx="0">
                  <c:v>Average Throughput per Device [MBit/Second]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 device_MBit_S'!$B$9:$C$9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'per device_MBit_S'!$B$10:$C$10</c:f>
              <c:numCache>
                <c:formatCode>General</c:formatCode>
                <c:ptCount val="2"/>
                <c:pt idx="0">
                  <c:v>1.56149976</c:v>
                </c:pt>
                <c:pt idx="1">
                  <c:v>1.4982172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1-42B6-AC04-FC798729E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482224"/>
        <c:axId val="1169484144"/>
      </c:barChart>
      <c:catAx>
        <c:axId val="116948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9484144"/>
        <c:crosses val="autoZero"/>
        <c:auto val="1"/>
        <c:lblAlgn val="ctr"/>
        <c:lblOffset val="100"/>
        <c:noMultiLvlLbl val="0"/>
      </c:catAx>
      <c:valAx>
        <c:axId val="11694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948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 device'!$A$7</c:f>
              <c:strCache>
                <c:ptCount val="1"/>
                <c:pt idx="0">
                  <c:v>Average Throughput per Device [Byte/Second]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 device'!$B$6:$C$6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'per device'!$B$7:$C$7</c:f>
              <c:numCache>
                <c:formatCode>General</c:formatCode>
                <c:ptCount val="2"/>
                <c:pt idx="0">
                  <c:v>195187.47</c:v>
                </c:pt>
                <c:pt idx="1">
                  <c:v>187277.15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2-4F20-9C24-D40398B86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395760"/>
        <c:axId val="1088393840"/>
      </c:barChart>
      <c:catAx>
        <c:axId val="108839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8393840"/>
        <c:crosses val="autoZero"/>
        <c:auto val="1"/>
        <c:lblAlgn val="ctr"/>
        <c:lblOffset val="100"/>
        <c:noMultiLvlLbl val="0"/>
      </c:catAx>
      <c:valAx>
        <c:axId val="10883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839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3</xdr:row>
      <xdr:rowOff>106680</xdr:rowOff>
    </xdr:from>
    <xdr:to>
      <xdr:col>6</xdr:col>
      <xdr:colOff>45720</xdr:colOff>
      <xdr:row>24</xdr:row>
      <xdr:rowOff>53340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42BB135-1D61-3F35-5C7F-70944817B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9</xdr:row>
      <xdr:rowOff>137160</xdr:rowOff>
    </xdr:from>
    <xdr:to>
      <xdr:col>3</xdr:col>
      <xdr:colOff>419100</xdr:colOff>
      <xdr:row>24</xdr:row>
      <xdr:rowOff>137160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CC5C25A-CCE6-6A4E-37CF-A409B0837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10</xdr:row>
      <xdr:rowOff>167640</xdr:rowOff>
    </xdr:from>
    <xdr:to>
      <xdr:col>4</xdr:col>
      <xdr:colOff>30480</xdr:colOff>
      <xdr:row>28</xdr:row>
      <xdr:rowOff>137160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88ABA2F-7D25-567C-9A10-5DE41D14C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8</xdr:row>
      <xdr:rowOff>22860</xdr:rowOff>
    </xdr:from>
    <xdr:to>
      <xdr:col>3</xdr:col>
      <xdr:colOff>701040</xdr:colOff>
      <xdr:row>27</xdr:row>
      <xdr:rowOff>167640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A62010A-E417-0162-2915-78A05B9DB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H8" sqref="H8"/>
    </sheetView>
  </sheetViews>
  <sheetFormatPr baseColWidth="10" defaultColWidth="8.88671875" defaultRowHeight="14.4" x14ac:dyDescent="0.3"/>
  <cols>
    <col min="1" max="1" width="41.88671875" customWidth="1"/>
    <col min="2" max="2" width="14.44140625" customWidth="1"/>
    <col min="3" max="3" width="17.109375" customWidth="1"/>
  </cols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>
        <v>195187.47</v>
      </c>
      <c r="C2">
        <v>374554.3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17AF-7D94-426E-A941-911D792DBB99}">
  <dimension ref="A1:C9"/>
  <sheetViews>
    <sheetView workbookViewId="0">
      <selection activeCell="E7" sqref="E7"/>
    </sheetView>
  </sheetViews>
  <sheetFormatPr baseColWidth="10" defaultRowHeight="14.4" x14ac:dyDescent="0.3"/>
  <cols>
    <col min="1" max="1" width="39.33203125" customWidth="1"/>
  </cols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>
        <v>195187.47</v>
      </c>
      <c r="C2">
        <v>374554.3</v>
      </c>
    </row>
    <row r="3" spans="1:3" x14ac:dyDescent="0.3">
      <c r="B3">
        <f>SUM(B2/1000000)</f>
        <v>0.19518747</v>
      </c>
      <c r="C3">
        <f>SUM(C2/1000000)</f>
        <v>0.37455430000000001</v>
      </c>
    </row>
    <row r="4" spans="1:3" x14ac:dyDescent="0.3">
      <c r="A4" t="s">
        <v>4</v>
      </c>
      <c r="B4">
        <f>SUM(B3*8)</f>
        <v>1.56149976</v>
      </c>
      <c r="C4">
        <f>SUM(C3*8)</f>
        <v>2.9964344000000001</v>
      </c>
    </row>
    <row r="8" spans="1:3" x14ac:dyDescent="0.3">
      <c r="B8" t="s">
        <v>0</v>
      </c>
      <c r="C8" t="s">
        <v>1</v>
      </c>
    </row>
    <row r="9" spans="1:3" x14ac:dyDescent="0.3">
      <c r="A9" t="s">
        <v>4</v>
      </c>
      <c r="B9">
        <v>1.56149976</v>
      </c>
      <c r="C9">
        <v>2.9964344000000001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7085-9884-4D93-B276-2FC5C72D0C82}">
  <dimension ref="A1:C10"/>
  <sheetViews>
    <sheetView workbookViewId="0">
      <selection activeCell="G11" sqref="G11"/>
    </sheetView>
  </sheetViews>
  <sheetFormatPr baseColWidth="10" defaultRowHeight="14.4" x14ac:dyDescent="0.3"/>
  <cols>
    <col min="1" max="1" width="50.6640625" customWidth="1"/>
  </cols>
  <sheetData>
    <row r="1" spans="1:3" x14ac:dyDescent="0.3">
      <c r="B1">
        <v>1</v>
      </c>
      <c r="C1">
        <v>2</v>
      </c>
    </row>
    <row r="2" spans="1:3" x14ac:dyDescent="0.3">
      <c r="A2" t="s">
        <v>2</v>
      </c>
      <c r="B2">
        <v>195187.47</v>
      </c>
      <c r="C2">
        <v>374554.3</v>
      </c>
    </row>
    <row r="3" spans="1:3" x14ac:dyDescent="0.3">
      <c r="A3" t="s">
        <v>3</v>
      </c>
      <c r="B3">
        <f>SUM(B2/B1)</f>
        <v>195187.47</v>
      </c>
      <c r="C3">
        <f>SUM(C2/C1)</f>
        <v>187277.15</v>
      </c>
    </row>
    <row r="4" spans="1:3" x14ac:dyDescent="0.3">
      <c r="B4">
        <f>SUM(B3/1000000)</f>
        <v>0.19518747</v>
      </c>
      <c r="C4">
        <f>SUM(C3/1000000)</f>
        <v>0.18727715</v>
      </c>
    </row>
    <row r="5" spans="1:3" x14ac:dyDescent="0.3">
      <c r="A5" t="s">
        <v>5</v>
      </c>
      <c r="B5">
        <f>SUM(B4*8)</f>
        <v>1.56149976</v>
      </c>
      <c r="C5">
        <f>SUM(C4*8)</f>
        <v>1.4982172</v>
      </c>
    </row>
    <row r="9" spans="1:3" x14ac:dyDescent="0.3">
      <c r="B9">
        <v>1</v>
      </c>
      <c r="C9">
        <v>2</v>
      </c>
    </row>
    <row r="10" spans="1:3" x14ac:dyDescent="0.3">
      <c r="A10" t="s">
        <v>5</v>
      </c>
      <c r="B10">
        <v>1.56149976</v>
      </c>
      <c r="C10">
        <v>1.4982172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6BC6-8051-4F60-89C8-12133544D86C}">
  <dimension ref="A1:C7"/>
  <sheetViews>
    <sheetView workbookViewId="0">
      <selection activeCell="D3" sqref="A1:D3"/>
    </sheetView>
  </sheetViews>
  <sheetFormatPr baseColWidth="10" defaultRowHeight="14.4" x14ac:dyDescent="0.3"/>
  <cols>
    <col min="1" max="1" width="39.109375" customWidth="1"/>
    <col min="2" max="2" width="17.5546875" customWidth="1"/>
    <col min="3" max="3" width="23.109375" customWidth="1"/>
  </cols>
  <sheetData>
    <row r="1" spans="1:3" x14ac:dyDescent="0.3">
      <c r="B1">
        <v>1</v>
      </c>
      <c r="C1">
        <v>2</v>
      </c>
    </row>
    <row r="2" spans="1:3" x14ac:dyDescent="0.3">
      <c r="A2" t="s">
        <v>2</v>
      </c>
      <c r="B2">
        <v>195187.47</v>
      </c>
      <c r="C2">
        <v>374554.3</v>
      </c>
    </row>
    <row r="3" spans="1:3" x14ac:dyDescent="0.3">
      <c r="A3" t="s">
        <v>3</v>
      </c>
      <c r="B3">
        <f>SUM(B2/B1)</f>
        <v>195187.47</v>
      </c>
      <c r="C3">
        <f>SUM(C2/C1)</f>
        <v>187277.15</v>
      </c>
    </row>
    <row r="6" spans="1:3" x14ac:dyDescent="0.3">
      <c r="B6">
        <v>1</v>
      </c>
      <c r="C6">
        <v>2</v>
      </c>
    </row>
    <row r="7" spans="1:3" x14ac:dyDescent="0.3">
      <c r="A7" t="s">
        <v>3</v>
      </c>
      <c r="B7">
        <v>195187.47</v>
      </c>
      <c r="C7">
        <v>187277.15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Summary</vt:lpstr>
      <vt:lpstr>Summary_Mbit_S</vt:lpstr>
      <vt:lpstr>per device_MBit_S</vt:lpstr>
      <vt:lpstr>per 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Caredda</dc:creator>
  <cp:lastModifiedBy>Julian Caredda</cp:lastModifiedBy>
  <dcterms:created xsi:type="dcterms:W3CDTF">2015-06-05T18:19:34Z</dcterms:created>
  <dcterms:modified xsi:type="dcterms:W3CDTF">2024-11-20T13:59:01Z</dcterms:modified>
</cp:coreProperties>
</file>