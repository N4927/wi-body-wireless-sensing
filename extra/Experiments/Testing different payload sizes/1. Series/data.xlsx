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Testing different payload sizes\"/>
    </mc:Choice>
  </mc:AlternateContent>
  <xr:revisionPtr revIDLastSave="0" documentId="13_ncr:1_{886B1642-A534-4A3F-9CC6-CC5C929FBE31}" xr6:coauthVersionLast="47" xr6:coauthVersionMax="47" xr10:uidLastSave="{00000000-0000-0000-0000-000000000000}"/>
  <bookViews>
    <workbookView xWindow="348" yWindow="2304" windowWidth="13824" windowHeight="7176" xr2:uid="{A623BB52-30C8-4050-9601-18E5338FC127}"/>
  </bookViews>
  <sheets>
    <sheet name="Summary (2)" sheetId="14" r:id="rId1"/>
    <sheet name="Summary" sheetId="10" r:id="rId2"/>
    <sheet name="Tabelle12" sheetId="12" r:id="rId3"/>
    <sheet name="128 bytes" sheetId="1" r:id="rId4"/>
    <sheet name="256 bytes" sheetId="2" r:id="rId5"/>
    <sheet name="512 bytes" sheetId="3" r:id="rId6"/>
    <sheet name="1024 bytes" sheetId="4" r:id="rId7"/>
    <sheet name="1459 bytes" sheetId="5" r:id="rId8"/>
    <sheet name="1059 v2" sheetId="11" r:id="rId9"/>
    <sheet name="1460 bytes" sheetId="6" r:id="rId10"/>
    <sheet name="1461 bytes" sheetId="7" r:id="rId11"/>
    <sheet name="1970 bytes" sheetId="8" r:id="rId12"/>
    <sheet name="2047 bytes" sheetId="9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4" l="1"/>
  <c r="Q5" i="14" s="1"/>
  <c r="H5" i="10"/>
  <c r="B5" i="10"/>
  <c r="C4" i="10"/>
  <c r="C5" i="10" s="1"/>
  <c r="D4" i="10"/>
  <c r="D5" i="10" s="1"/>
  <c r="E4" i="10"/>
  <c r="E5" i="10" s="1"/>
  <c r="F4" i="10"/>
  <c r="F5" i="10" s="1"/>
  <c r="G4" i="10"/>
  <c r="G5" i="10" s="1"/>
  <c r="H4" i="10"/>
  <c r="I4" i="10"/>
  <c r="I5" i="10" s="1"/>
  <c r="J4" i="10"/>
  <c r="J5" i="10" s="1"/>
  <c r="K4" i="10"/>
  <c r="K5" i="10" s="1"/>
  <c r="Q4" i="10"/>
  <c r="Q5" i="10" s="1"/>
  <c r="B4" i="10"/>
  <c r="D83" i="12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1" i="12"/>
  <c r="D64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1" i="11"/>
  <c r="C9" i="5"/>
  <c r="D45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1" i="9"/>
  <c r="D40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1" i="8"/>
  <c r="D33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1" i="7"/>
  <c r="D35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1" i="6"/>
  <c r="E28" i="5"/>
  <c r="C1" i="5"/>
  <c r="C2" i="5"/>
  <c r="C3" i="5"/>
  <c r="C4" i="5"/>
  <c r="C5" i="5"/>
  <c r="C6" i="5"/>
  <c r="C7" i="5"/>
  <c r="C8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B2" i="4"/>
  <c r="D4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1" i="4"/>
  <c r="D35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D43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1" i="2"/>
  <c r="B1" i="1"/>
  <c r="D51" i="1"/>
  <c r="D49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B3" i="1"/>
  <c r="B4" i="1"/>
  <c r="B5" i="1"/>
  <c r="B6" i="1"/>
  <c r="B7" i="1"/>
  <c r="B8" i="1"/>
  <c r="B9" i="1"/>
  <c r="B10" i="1"/>
  <c r="B11" i="1"/>
  <c r="B12" i="1"/>
  <c r="B13" i="1"/>
</calcChain>
</file>

<file path=xl/sharedStrings.xml><?xml version="1.0" encoding="utf-8"?>
<sst xmlns="http://schemas.openxmlformats.org/spreadsheetml/2006/main" count="483" uniqueCount="479">
  <si>
    <t>_x001B_[0;32mI (50902) Access Point: Runtime: 50539606 [us], Total Bytes: 24272918, Bytes: 980288[B/s], Throughput; 0.000000_x001B_[0m</t>
  </si>
  <si>
    <t>_x001B_[0;32mI (51902) Access Point: Runtime: 51539617 [us], Total Bytes: 24997814, Bytes: 724896[B/s], Throughput; 0.000000_x001B_[0m</t>
  </si>
  <si>
    <t>_x001B_[0;32mI (52902) Access Point: Runtime: 52539606 [us], Total Bytes: 25956150, Bytes: 958336[B/s], Throughput; 0.000000_x001B_[0m</t>
  </si>
  <si>
    <t>_x001B_[0;32mI (53902) Access Point: Runtime: 53539606 [us], Total Bytes: 26858390, Bytes: 902240[B/s], Throughput; 0.000000_x001B_[0m</t>
  </si>
  <si>
    <t>_x001B_[0;32mI (54902) Access Point: Runtime: 54539683 [us], Total Bytes: 27977494, Bytes: 1119104[B/s], Throughput; 1000000.000000_x001B_[0m</t>
  </si>
  <si>
    <t>_x001B_[0;32mI (55902) Access Point: Runtime: 55539605 [us], Total Bytes: 28713366, Bytes: 735872[B/s], Throughput; 0.000000_x001B_[0m</t>
  </si>
  <si>
    <t>_x001B_[0;32mI (56902) Access Point: Runtime: 56539605 [us], Total Bytes: 28821430, Bytes: 108064[B/s], Throughput; 0.000000_x001B_[0m</t>
  </si>
  <si>
    <t>_x001B_[0;32mI (57902) Access Point: Runtime: 57539605 [us], Total Bytes: 29312566, Bytes: 491136[B/s], Throughput; 0.000000_x001B_[0m</t>
  </si>
  <si>
    <t>_x001B_[0;32mI (58902) Access Point: Runtime: 58539606 [us], Total Bytes: 30486166, Bytes: 1173600[B/s], Throughput; 1000000.000000_x001B_[0m</t>
  </si>
  <si>
    <t>_x001B_[0;32mI (59902) Access Point: Runtime: 59539605 [us], Total Bytes: 31367030, Bytes: 880864[B/s], Throughput; 0.000000_x001B_[0m</t>
  </si>
  <si>
    <t>_x001B_[0;32mI (60902) Access Point: Runtime: 60539652 [us], Total Bytes: 31950262, Bytes: 583232[B/s], Throughput; 0.000000_x001B_[0m</t>
  </si>
  <si>
    <t>_x001B_[0;32mI (61902) Access Point: Runtime: 61539605 [us], Total Bytes: 32485462, Bytes: 535200[B/s], Throughput; 0.000000_x001B_[0m</t>
  </si>
  <si>
    <t>_x001B_[0;32mI (62902) Access Point: Runtime: 62539605 [us], Total Bytes: 33615638, Bytes: 1130176[B/s], Throughput; 1000000.000000_x001B_[0m</t>
  </si>
  <si>
    <t>_x001B_[0;32mI (63902) Access Point: Runtime: 63539606 [us], Total Bytes: 34416150, Bytes: 800512[B/s], Throughput; 0.000000_x001B_[0m</t>
  </si>
  <si>
    <t>_x001B_[0;32mI (64902) Access Point: Runtime: 64539605 [us], Total Bytes: 35273942, Bytes: 857792[B/s], Throughput; 0.000000_x001B_[0m</t>
  </si>
  <si>
    <t>_x001B_[0;32mI (65902) Access Point: Runtime: 65539660 [us], Total Bytes: 36261942, Bytes: 988000[B/s], Throughput; 0.000000_x001B_[0m</t>
  </si>
  <si>
    <t>_x001B_[0;32mI (66902) Access Point: Runtime: 66539606 [us], Total Bytes: 37027350, Bytes: 765408[B/s], Throughput; 0.000000_x001B_[0m</t>
  </si>
  <si>
    <t>_x001B_[0;32mI (67902) Access Point: Runtime: 67539605 [us], Total Bytes: 37802134, Bytes: 774784[B/s], Throughput; 0.000000_x001B_[0m</t>
  </si>
  <si>
    <t>_x001B_[0;32mI (68902) Access Point: Runtime: 68539651 [us], Total Bytes: 38762934, Bytes: 960800[B/s], Throughput; 0.000000_x001B_[0m</t>
  </si>
  <si>
    <t>_x001B_[0;32mI (69902) Access Point: Runtime: 69539670 [us], Total Bytes: 39672372, Bytes: 909438[B/s], Throughput; 0.000000_x001B_[0m</t>
  </si>
  <si>
    <t>_x001B_[0;32mI (70902) Access Point: Runtime: 70539689 [us], Total Bytes: 40849782, Bytes: 1177410[B/s], Throughput; 1000000.000000_x001B_[0m</t>
  </si>
  <si>
    <t>_x001B_[0;32mI (71902) Access Point: Runtime: 71539605 [us], Total Bytes: 41932118, Bytes: 1082336[B/s], Throughput; 1000000.000000_x001B_[0m</t>
  </si>
  <si>
    <t>_x001B_[0;32mI (72902) Access Point: Runtime: 72539639 [us], Total Bytes: 42787798, Bytes: 855680[B/s], Throughput; 0.000000_x001B_[0m</t>
  </si>
  <si>
    <t>_x001B_[0;32mI (73902) Access Point: Runtime: 73539636 [us], Total Bytes: 43504662, Bytes: 716864[B/s], Throughput; 0.000000_x001B_[0m</t>
  </si>
  <si>
    <t>_x001B_[0;32mI (74902) Access Point: Runtime: 74539605 [us], Total Bytes: 44325270, Bytes: 820608[B/s], Throughput; 0.000000_x001B_[0m</t>
  </si>
  <si>
    <t>_x001B_[0;32mI (75902) Access Point: Runtime: 75539606 [us], Total Bytes: 45170262, Bytes: 844992[B/s], Throughput; 0.000000_x001B_[0m</t>
  </si>
  <si>
    <t>_x001B_[0;32mI (76902) Access Point: Runtime: 76539659 [us], Total Bytes: 45996694, Bytes: 826432[B/s], Throughput; 0.000000_x001B_[0m</t>
  </si>
  <si>
    <t>_x001B_[0;32mI (77902) Access Point: Runtime: 77539606 [us], Total Bytes: 47150998, Bytes: 1154304[B/s], Throughput; 1000000.000000_x001B_[0m</t>
  </si>
  <si>
    <t>_x001B_[0;32mI (78902) Access Point: Runtime: 78539605 [us], Total Bytes: 48177142, Bytes: 1026144[B/s], Throughput; 1000000.000000_x001B_[0m</t>
  </si>
  <si>
    <t>_x001B_[0;32mI (79902) Access Point: Runtime: 79539727 [us], Total Bytes: 49022870, Bytes: 845728[B/s], Throughput; 0.000000_x001B_[0m</t>
  </si>
  <si>
    <t>_x001B_[0;32mI (80902) Access Point: Runtime: 80539605 [us], Total Bytes: 49945558, Bytes: 922688[B/s], Throughput; 0.000000_x001B_[0m</t>
  </si>
  <si>
    <t>_x001B_[0;32mI (81902) Access Point: Runtime: 81539605 [us], Total Bytes: 50331894, Bytes: 386336[B/s], Throughput; 0.000000_x001B_[0m</t>
  </si>
  <si>
    <t>_x001B_[0;32mI (82902) Access Point: Runtime: 82539660 [us], Total Bytes: 51313590, Bytes: 981696[B/s], Throughput; 0.000000_x001B_[0m</t>
  </si>
  <si>
    <t>_x001B_[0;32mI (83902) Access Point: Runtime: 83539662 [us], Total Bytes: 52375189, Bytes: 1061599[B/s], Throughput; 1000000.000000_x001B_[0m</t>
  </si>
  <si>
    <t>_x001B_[0;32mI (84902) Access Point: Runtime: 84539605 [us], Total Bytes: 53051286, Bytes: 676097[B/s], Throughput; 0.000000_x001B_[0m</t>
  </si>
  <si>
    <t>_x001B_[0;32mI (85902) Access Point: Runtime: 85539605 [us], Total Bytes: 54164246, Bytes: 1112960[B/s], Throughput; 1000000.000000_x001B_[0m</t>
  </si>
  <si>
    <t>_x001B_[0;32mI (86902) Access Point: Runtime: 86539609 [us], Total Bytes: 55071926, Bytes: 907680[B/s], Throughput; 0.000000_x001B_[0m</t>
  </si>
  <si>
    <t>_x001B_[0;32mI (87902) Access Point: Runtime: 87539605 [us], Total Bytes: 56252950, Bytes: 1181024[B/s], Throughput; 1000000.000000_x001B_[0m</t>
  </si>
  <si>
    <t>_x001B_[0;32mI (88902) Access Point: Runtime: 88539606 [us], Total Bytes: 57368886, Bytes: 1115936[B/s], Throughput; 1000000.000000_x001B_[0m</t>
  </si>
  <si>
    <t>_x001B_[0;32mI (89902) Access Point: Runtime: 89539605 [us], Total Bytes: 57901398, Bytes: 532512[B/s], Throughput; 0.000000_x001B_[0m</t>
  </si>
  <si>
    <t>_x001B_[0;32mI (90902) Access Point: Runtime: 90539660 [us], Total Bytes: 58986582, Bytes: 1085184[B/s], Throughput; 1000000.000000_x001B_[0m</t>
  </si>
  <si>
    <t>_x001B_[0;32mI (91902) Access Point: Runtime: 91539605 [us], Total Bytes: 59957430, Bytes: 970848[B/s], Throughput; 0.000000_x001B_[0m</t>
  </si>
  <si>
    <t>_x001B_[0;32mI (92902) Access Point: Runtime: 92539606 [us], Total Bytes: 61123254, Bytes: 1165824[B/s], Throughput; 1000000.000000_x001B_[0m</t>
  </si>
  <si>
    <t>_x001B_[0;32mI (93902) Access Point: Runtime: 93539605 [us], Total Bytes: 62028566, Bytes: 905312[B/s], Throughput; 0.000000_x001B_[0m</t>
  </si>
  <si>
    <t>_x001B_[0;32mI (94902) Access Point: Runtime: 94539606 [us], Total Bytes: 63114294, Bytes: 1085728[B/s], Throughput; 1000000.000000_x001B_[0m</t>
  </si>
  <si>
    <t>_x001B_[0;32mI (95902) Access Point: Runtime: 95539611 [us], Total Bytes: 63713654, Bytes: 599360[B/s], Throughput; 0.000000_x001B_[0m</t>
  </si>
  <si>
    <t>_x001B_[0;32mI (96902) Access Point: Runtime: 96539605 [us], Total Bytes: 64012790, Bytes: 299136[B/s], Throughput; 0.000000_x001B_[0m</t>
  </si>
  <si>
    <t>_x001B_[0;32mI (13422) Access Point: Runtime: 13055840 [us], Total Bytes: 8563051, Bytes: 1226880[B/s], Throughput; 1000000.000000_x001B_[0m</t>
  </si>
  <si>
    <t>_x001B_[0;32mI (14422) Access Point: Runtime: 14055841 [us], Total Bytes: 9523691, Bytes: 960640[B/s], Throughput; 0.000000_x001B_[0m</t>
  </si>
  <si>
    <t>_x001B_[0;32mI (15422) Access Point: Runtime: 15055841 [us], Total Bytes: 10677003, Bytes: 1153312[B/s], Throughput; 1000000.000000_x001B_[0m</t>
  </si>
  <si>
    <t>_x001B_[0;32mI (16422) Access Point: Runtime: 16055840 [us], Total Bytes: 11144011, Bytes: 467008[B/s], Throughput; 0.000000_x001B_[0m</t>
  </si>
  <si>
    <t>_x001B_[0;32mI (17422) Access Point: Runtime: 17055840 [us], Total Bytes: 11149771, Bytes: 5760[B/s], Throughput; 0.000000_x001B_[0m</t>
  </si>
  <si>
    <t>_x001B_[0;32mI (18422) Access Point: Runtime: 18055844 [us], Total Bytes: 11445387, Bytes: 295616[B/s], Throughput; 0.000000_x001B_[0m</t>
  </si>
  <si>
    <t>_x001B_[0;32mI (19422) Access Point: Runtime: 19055901 [us], Total Bytes: 12692747, Bytes: 1247360[B/s], Throughput; 1000000.000000_x001B_[0m</t>
  </si>
  <si>
    <t>_x001B_[0;32mI (20422) Access Point: Runtime: 20055937 [us], Total Bytes: 14032299, Bytes: 1339552[B/s], Throughput; 1000000.000000_x001B_[0m</t>
  </si>
  <si>
    <t>_x001B_[0;32mI (21422) Access Point: Runtime: 21055840 [us], Total Bytes: 15192395, Bytes: 1160096[B/s], Throughput; 1000000.000000_x001B_[0m</t>
  </si>
  <si>
    <t>_x001B_[0;32mI (22422) Access Point: Runtime: 22055848 [us], Total Bytes: 16493387, Bytes: 1300992[B/s], Throughput; 1000000.000000_x001B_[0m</t>
  </si>
  <si>
    <t>_x001B_[0;32mI (23422) Access Point: Runtime: 23055841 [us], Total Bytes: 17690315, Bytes: 1196928[B/s], Throughput; 1000000.000000_x001B_[0m</t>
  </si>
  <si>
    <t>_x001B_[0;32mI (24422) Access Point: Runtime: 24055841 [us], Total Bytes: 18985835, Bytes: 1295520[B/s], Throughput; 1000000.000000_x001B_[0m</t>
  </si>
  <si>
    <t>_x001B_[0;32mI (25422) Access Point: Runtime: 25055885 [us], Total Bytes: 20283883, Bytes: 1298048[B/s], Throughput; 1000000.000000_x001B_[0m</t>
  </si>
  <si>
    <t>_x001B_[0;32mI (26422) Access Point: Runtime: 26055841 [us], Total Bytes: 21636651, Bytes: 1352768[B/s], Throughput; 1000000.000000_x001B_[0m</t>
  </si>
  <si>
    <t>_x001B_[0;32mI (27422) Access Point: Runtime: 27055840 [us], Total Bytes: 22953067, Bytes: 1316416[B/s], Throughput; 1000000.000000_x001B_[0m</t>
  </si>
  <si>
    <t>_x001B_[0;32mI (28422) Access Point: Runtime: 28055841 [us], Total Bytes: 24157195, Bytes: 1204128[B/s], Throughput; 1000000.000000_x001B_[0m</t>
  </si>
  <si>
    <t>_x001B_[0;32mI (29422) Access Point: Runtime: 29055841 [us], Total Bytes: 25454667, Bytes: 1297472[B/s], Throughput; 1000000.000000_x001B_[0m</t>
  </si>
  <si>
    <t>_x001B_[0;32mI (30422) Access Point: Runtime: 30055841 [us], Total Bytes: 26811147, Bytes: 1356480[B/s], Throughput; 1000000.000000_x001B_[0m</t>
  </si>
  <si>
    <t>_x001B_[0;32mI (31422) Access Point: Runtime: 31055902 [us], Total Bytes: 27789227, Bytes: 978080[B/s], Throughput; 0.000000_x001B_[0m</t>
  </si>
  <si>
    <t>_x001B_[0;32mI (32422) Access Point: Runtime: 32055866 [us], Total Bytes: 29004811, Bytes: 1215584[B/s], Throughput; 1000000.000000_x001B_[0m</t>
  </si>
  <si>
    <t>_x001B_[0;32mI (33422) Access Point: Runtime: 33055840 [us], Total Bytes: 30105195, Bytes: 1100384[B/s], Throughput; 1000000.000000_x001B_[0m</t>
  </si>
  <si>
    <t>_x001B_[0;32mI (34422) Access Point: Runtime: 34055840 [us], Total Bytes: 31185355, Bytes: 1080160[B/s], Throughput; 1000000.000000_x001B_[0m</t>
  </si>
  <si>
    <t>_x001B_[0;32mI (35422) Access Point: Runtime: 35055841 [us], Total Bytes: 32288779, Bytes: 1103424[B/s], Throughput; 1000000.000000_x001B_[0m</t>
  </si>
  <si>
    <t>_x001B_[0;32mI (36422) Access Point: Runtime: 36055841 [us], Total Bytes: 33475851, Bytes: 1187072[B/s], Throughput; 1000000.000000_x001B_[0m</t>
  </si>
  <si>
    <t>_x001B_[0;32mI (37422) Access Point: Runtime: 37055841 [us], Total Bytes: 34563979, Bytes: 1088128[B/s], Throughput; 1000000.000000_x001B_[0m</t>
  </si>
  <si>
    <t>_x001B_[0;32mI (38422) Access Point: Runtime: 38055840 [us], Total Bytes: 35623339, Bytes: 1059360[B/s], Throughput; 1000000.000000_x001B_[0m</t>
  </si>
  <si>
    <t>_x001B_[0;32mI (39422) Access Point: Runtime: 39055841 [us], Total Bytes: 36802347, Bytes: 1179008[B/s], Throughput; 1000000.000000_x001B_[0m</t>
  </si>
  <si>
    <t>_x001B_[0;32mI (40422) Access Point: Runtime: 40055841 [us], Total Bytes: 37829867, Bytes: 1027520[B/s], Throughput; 1000000.000000_x001B_[0m</t>
  </si>
  <si>
    <t>_x001B_[0;32mI (41422) Access Point: Runtime: 41055841 [us], Total Bytes: 38872043, Bytes: 1042176[B/s], Throughput; 1000000.000000_x001B_[0m</t>
  </si>
  <si>
    <t>_x001B_[0;32mI (42422) Access Point: Runtime: 42055841 [us], Total Bytes: 39966731, Bytes: 1094688[B/s], Throughput; 1000000.000000_x001B_[0m</t>
  </si>
  <si>
    <t>_x001B_[0;32mI (43422) Access Point: Runtime: 43055840 [us], Total Bytes: 41196811, Bytes: 1230080[B/s], Throughput; 1000000.000000_x001B_[0m</t>
  </si>
  <si>
    <t>_x001B_[0;32mI (44422) Access Point: Runtime: 44055840 [us], Total Bytes: 42391115, Bytes: 1194304[B/s], Throughput; 1000000.000000_x001B_[0m</t>
  </si>
  <si>
    <t>_x001B_[0;32mI (45422) Access Point: Runtime: 45055840 [us], Total Bytes: 43501707, Bytes: 1110592[B/s], Throughput; 1000000.000000_x001B_[0m</t>
  </si>
  <si>
    <t>_x001B_[0;32mI (46422) Access Point: Runtime: 46055841 [us], Total Bytes: 44265195, Bytes: 763488[B/s], Throughput; 0.000000_x001B_[0m</t>
  </si>
  <si>
    <t>_x001B_[0;32mI (47422) Access Point: Runtime: 47055840 [us], Total Bytes: 44265195, Bytes: 0[B/s], Throughput; 0.000000_x001B_[0m</t>
  </si>
  <si>
    <t>_x001B_[0;32mI (48422) Access Point: Runtime: 48055841 [us], Total Bytes: 44753163, Bytes: 487968[B/s], Throughput; 0.000000_x001B_[0m</t>
  </si>
  <si>
    <t>_x001B_[0;32mI (49422) Access Point: Runtime: 49055866 [us], Total Bytes: 45933291, Bytes: 1180128[B/s], Throughput; 1000000.000000_x001B_[0m</t>
  </si>
  <si>
    <t>_x001B_[0;32mI (50422) Access Point: Runtime: 50055841 [us], Total Bytes: 46957835, Bytes: 1024544[B/s], Throughput; 1000000.000000_x001B_[0m</t>
  </si>
  <si>
    <t>_x001B_[0;32mI (51422) Access Point: Runtime: 51055954 [us], Total Bytes: 47980811, Bytes: 1022976[B/s], Throughput; 1000000.000000_x001B_[0m</t>
  </si>
  <si>
    <t>_x001B_[0;32mI (52422) Access Point: Runtime: 52055840 [us], Total Bytes: 48928747, Bytes: 947936[B/s], Throughput; 0.000000_x001B_[0m</t>
  </si>
  <si>
    <t>_x001B_[0;32mI (53422) Access Point: Runtime: 53055841 [us], Total Bytes: 49655787, Bytes: 727040[B/s], Throughput; 0.000000_x001B_[0m</t>
  </si>
  <si>
    <t>_x001B_[0;32mI (13792) Access Point: Runtime: 13422043 [us], Total Bytes: 12340363, Bytes: 1332128[B/s], Throughput; 1000000.000000_x001B_[0m</t>
  </si>
  <si>
    <t>_x001B_[0;32mI (14792) Access Point: Runtime: 14422080 [us], Total Bytes: 13560555, Bytes: 1220192[B/s], Throughput; 1000000.000000_x001B_[0m</t>
  </si>
  <si>
    <t>_x001B_[0;32mI (15792) Access Point: Runtime: 15422044 [us], Total Bytes: 14839691, Bytes: 1279136[B/s], Throughput; 1000000.000000_x001B_[0m</t>
  </si>
  <si>
    <t>_x001B_[0;32mI (16792) Access Point: Runtime: 16422043 [us], Total Bytes: 16098731, Bytes: 1259040[B/s], Throughput; 1000000.000000_x001B_[0m</t>
  </si>
  <si>
    <t>_x001B_[0;32mI (17792) Access Point: Runtime: 17422043 [us], Total Bytes: 17529899, Bytes: 1431168[B/s], Throughput; 1000000.000000_x001B_[0m</t>
  </si>
  <si>
    <t>_x001B_[0;32mI (18792) Access Point: Runtime: 18422043 [us], Total Bytes: 18724171, Bytes: 1194272[B/s], Throughput; 1000000.000000_x001B_[0m</t>
  </si>
  <si>
    <t>_x001B_[0;32mI (19792) Access Point: Runtime: 19422091 [us], Total Bytes: 19870283, Bytes: 1146112[B/s], Throughput; 1000000.000000_x001B_[0m</t>
  </si>
  <si>
    <t>_x001B_[0;32mI (20792) Access Point: Runtime: 20422113 [us], Total Bytes: 21265323, Bytes: 1395040[B/s], Throughput; 1000000.000000_x001B_[0m</t>
  </si>
  <si>
    <t>_x001B_[0;32mI (21792) Access Point: Runtime: 21422047 [us], Total Bytes: 22493547, Bytes: 1228224[B/s], Throughput; 1000000.000000_x001B_[0m</t>
  </si>
  <si>
    <t>_x001B_[0;32mI (22792) Access Point: Runtime: 22422081 [us], Total Bytes: 23724715, Bytes: 1231168[B/s], Throughput; 1000000.000000_x001B_[0m</t>
  </si>
  <si>
    <t>_x001B_[0;32mI (23792) Access Point: Runtime: 23422043 [us], Total Bytes: 24919755, Bytes: 1195040[B/s], Throughput; 1000000.000000_x001B_[0m</t>
  </si>
  <si>
    <t>_x001B_[0;32mI (24792) Access Point: Runtime: 24422211 [us], Total Bytes: 26103819, Bytes: 1184064[B/s], Throughput; 1000000.000000_x001B_[0m</t>
  </si>
  <si>
    <t>_x001B_[0;32mI (25792) Access Point: Runtime: 25422044 [us], Total Bytes: 27280107, Bytes: 1176288[B/s], Throughput; 1000000.000000_x001B_[0m</t>
  </si>
  <si>
    <t>_x001B_[0;32mI (26792) Access Point: Runtime: 26422043 [us], Total Bytes: 28511147, Bytes: 1231040[B/s], Throughput; 1000000.000000_x001B_[0m</t>
  </si>
  <si>
    <t>_x001B_[0;32mI (27792) Access Point: Runtime: 27422104 [us], Total Bytes: 29782539, Bytes: 1271392[B/s], Throughput; 1000000.000000_x001B_[0m</t>
  </si>
  <si>
    <t>_x001B_[0;32mI (28792) Access Point: Runtime: 28422044 [us], Total Bytes: 31012363, Bytes: 1229824[B/s], Throughput; 1000000.000000_x001B_[0m</t>
  </si>
  <si>
    <t>_x001B_[0;32mI (29792) Access Point: Runtime: 29422043 [us], Total Bytes: 32154475, Bytes: 1142112[B/s], Throughput; 1000000.000000_x001B_[0m</t>
  </si>
  <si>
    <t>_x001B_[0;32mI (30792) Access Point: Runtime: 30422044 [us], Total Bytes: 33430539, Bytes: 1276064[B/s], Throughput; 1000000.000000_x001B_[0m</t>
  </si>
  <si>
    <t>_x001B_[0;32mI (31792) Access Point: Runtime: 31422044 [us], Total Bytes: 34681545, Bytes: 1251006[B/s], Throughput; 1000000.000000_x001B_[0m</t>
  </si>
  <si>
    <t>_x001B_[0;32mI (32792) Access Point: Runtime: 32422044 [us], Total Bytes: 35950251, Bytes: 1268706[B/s], Throughput; 1000000.000000_x001B_[0m</t>
  </si>
  <si>
    <t>_x001B_[0;32mI (33792) Access Point: Runtime: 33422043 [us], Total Bytes: 36258059, Bytes: 307808[B/s], Throughput; 0.000000_x001B_[0m</t>
  </si>
  <si>
    <t>_x001B_[0;32mI (34792) Access Point: Runtime: 34422043 [us], Total Bytes: 36258059, Bytes: 0[B/s], Throughput; 0.000000_x001B_[0m</t>
  </si>
  <si>
    <t>_x001B_[0;32mI (35792) Access Point: Runtime: 35422095 [us], Total Bytes: 37597739, Bytes: 1339680[B/s], Throughput; 1000000.000000_x001B_[0m</t>
  </si>
  <si>
    <t>_x001B_[0;32mI (36792) Access Point: Runtime: 36422044 [us], Total Bytes: 38853899, Bytes: 1256160[B/s], Throughput; 1000000.000000_x001B_[0m</t>
  </si>
  <si>
    <t>_x001B_[0;32mI (37792) Access Point: Runtime: 37422044 [us], Total Bytes: 40097610, Bytes: 1243711[B/s], Throughput; 1000000.000000_x001B_[0m</t>
  </si>
  <si>
    <t>_x001B_[0;32mI (38792) Access Point: Runtime: 38422043 [us], Total Bytes: 41379691, Bytes: 1282081[B/s], Throughput; 1000000.000000_x001B_[0m</t>
  </si>
  <si>
    <t>_x001B_[0;32mI (39792) Access Point: Runtime: 39422098 [us], Total Bytes: 42458986, Bytes: 1079295[B/s], Throughput; 1000000.000000_x001B_[0m</t>
  </si>
  <si>
    <t>_x001B_[0;32mI (40792) Access Point: Runtime: 40422119 [us], Total Bytes: 43669323, Bytes: 1210337[B/s], Throughput; 1000000.000000_x001B_[0m</t>
  </si>
  <si>
    <t>_x001B_[0;32mI (41792) Access Point: Runtime: 41422043 [us], Total Bytes: 44650315, Bytes: 980992[B/s], Throughput; 0.000000_x001B_[0m</t>
  </si>
  <si>
    <t>_x001B_[0;32mI (42792) Access Point: Runtime: 42422043 [us], Total Bytes: 45828363, Bytes: 1178048[B/s], Throughput; 1000000.000000_x001B_[0m</t>
  </si>
  <si>
    <t>_x001B_[0;32mI (43792) Access Point: Runtime: 43422043 [us], Total Bytes: 47113611, Bytes: 1285248[B/s], Throughput; 1000000.000000_x001B_[0m</t>
  </si>
  <si>
    <t>_x001B_[0;32mI (44792) Access Point: Runtime: 44422044 [us], Total Bytes: 48390187, Bytes: 1276576[B/s], Throughput; 1000000.000000_x001B_[0m</t>
  </si>
  <si>
    <t>_x001B_[0;32mI (45792) Access Point: Runtime: 45422044 [us], Total Bytes: 49563371, Bytes: 1173184[B/s], Throughput; 1000000.000000_x001B_[0m</t>
  </si>
  <si>
    <t>_x001B_[0;32mI (79302) Access Point: Runtime: 78934586 [us], Total Bytes: 8932395, Bytes: 1282080[B/s], Throughput; 1000000.000000_x001B_[0m</t>
  </si>
  <si>
    <t>_x001B_[0;32mI (80302) Access Point: Runtime: 79934585 [us], Total Bytes: 10215115, Bytes: 1282720[B/s], Throughput; 1000000.000000_x001B_[0m</t>
  </si>
  <si>
    <t>_x001B_[0;32mI (81302) Access Point: Runtime: 80934585 [us], Total Bytes: 11464747, Bytes: 1249632[B/s], Throughput; 1000000.000000_x001B_[0m</t>
  </si>
  <si>
    <t>_x001B_[0;32mI (82302) Access Point: Runtime: 81934585 [us], Total Bytes: 12711755, Bytes: 1247008[B/s], Throughput; 1000000.000000_x001B_[0m</t>
  </si>
  <si>
    <t>_x001B_[0;32mI (83302) Access Point: Runtime: 82934584 [us], Total Bytes: 13800939, Bytes: 1089184[B/s], Throughput; 1000000.000000_x001B_[0m</t>
  </si>
  <si>
    <t>_x001B_[0;32mI (84302) Access Point: Runtime: 83934585 [us], Total Bytes: 14937259, Bytes: 1136320[B/s], Throughput; 1000000.000000_x001B_[0m</t>
  </si>
  <si>
    <t>_x001B_[0;32mI (85302) Access Point: Runtime: 84934585 [us], Total Bytes: 16207723, Bytes: 1270464[B/s], Throughput; 1000000.000000_x001B_[0m</t>
  </si>
  <si>
    <t>_x001B_[0;32mI (86302) Access Point: Runtime: 85934656 [us], Total Bytes: 17458219, Bytes: 1250496[B/s], Throughput; 1000000.000000_x001B_[0m</t>
  </si>
  <si>
    <t>_x001B_[0;32mI (87302) Access Point: Runtime: 86934585 [us], Total Bytes: 18744331, Bytes: 1286112[B/s], Throughput; 1000000.000000_x001B_[0m</t>
  </si>
  <si>
    <t>_x001B_[0;32mI (88302) Access Point: Runtime: 87934678 [us], Total Bytes: 20118571, Bytes: 1374240[B/s], Throughput; 1000000.000000_x001B_[0m</t>
  </si>
  <si>
    <t>_x001B_[0;32mI (89302) Access Point: Runtime: 88934584 [us], Total Bytes: 21483915, Bytes: 1365344[B/s], Throughput; 1000000.000000_x001B_[0m</t>
  </si>
  <si>
    <t>_x001B_[0;32mI (90302) Access Point: Runtime: 89934658 [us], Total Bytes: 22844555, Bytes: 1360640[B/s], Throughput; 1000000.000000_x001B_[0m</t>
  </si>
  <si>
    <t>_x001B_[0;32mI (91302) Access Point: Runtime: 90934584 [us], Total Bytes: 24204107, Bytes: 1359552[B/s], Throughput; 1000000.000000_x001B_[0m</t>
  </si>
  <si>
    <t>_x001B_[0;32mI (92302) Access Point: Runtime: 91934585 [us], Total Bytes: 25667851, Bytes: 1463744[B/s], Throughput; 1000000.000000_x001B_[0m</t>
  </si>
  <si>
    <t>_x001B_[0;32mI (93302) Access Point: Runtime: 92934585 [us], Total Bytes: 26936715, Bytes: 1268864[B/s], Throughput; 1000000.000000_x001B_[0m</t>
  </si>
  <si>
    <t>_x001B_[0;32mI (94302) Access Point: Runtime: 93934585 [us], Total Bytes: 28296043, Bytes: 1359328[B/s], Throughput; 1000000.000000_x001B_[0m</t>
  </si>
  <si>
    <t>_x001B_[0;32mI (95302) Access Point: Runtime: 94934584 [us], Total Bytes: 29678347, Bytes: 1382304[B/s], Throughput; 1000000.000000_x001B_[0m</t>
  </si>
  <si>
    <t>_x001B_[0;32mI (96302) Access Point: Runtime: 95934585 [us], Total Bytes: 31030347, Bytes: 1352000[B/s], Throughput; 1000000.000000_x001B_[0m</t>
  </si>
  <si>
    <t>_x001B_[0;32mI (97302) Access Point: Runtime: 96934617 [us], Total Bytes: 32403531, Bytes: 1373184[B/s], Throughput; 1000000.000000_x001B_[0m</t>
  </si>
  <si>
    <t>_x001B_[0;32mI (98302) Access Point: Runtime: 97934584 [us], Total Bytes: 33747339, Bytes: 1343808[B/s], Throughput; 1000000.000000_x001B_[0m</t>
  </si>
  <si>
    <t>_x001B_[0;32mI (99302) Access Point: Runtime: 98934585 [us], Total Bytes: 35008363, Bytes: 1261024[B/s], Throughput; 1000000.000000_x001B_[0m</t>
  </si>
  <si>
    <t>_x001B_[0;32mI (100302) Access Point: Runtime: 99934585 [us], Total Bytes: 35992651, Bytes: 984288[B/s], Throughput; 0.000000_x001B_[0m</t>
  </si>
  <si>
    <t>_x001B_[0;32mI (101302) Access Point: Runtime: 100934584 [us], Total Bytes: 37241067, Bytes: 1248416[B/s], Throughput; 1000000.000000_x001B_[0m</t>
  </si>
  <si>
    <t>_x001B_[0;32mI (102302) Access Point: Runtime: 101934584 [us], Total Bytes: 38497035, Bytes: 1255968[B/s], Throughput; 1000000.000000_x001B_[0m</t>
  </si>
  <si>
    <t>_x001B_[0;32mI (103302) Access Point: Runtime: 102934585 [us], Total Bytes: 39657131, Bytes: 1160096[B/s], Throughput; 1000000.000000_x001B_[0m</t>
  </si>
  <si>
    <t>_x001B_[0;32mI (104302) Access Point: Runtime: 103934654 [us], Total Bytes: 40914955, Bytes: 1257824[B/s], Throughput; 1000000.000000_x001B_[0m</t>
  </si>
  <si>
    <t>_x001B_[0;32mI (105302) Access Point: Runtime: 104934660 [us], Total Bytes: 42044427, Bytes: 1129472[B/s], Throughput; 1000000.000000_x001B_[0m</t>
  </si>
  <si>
    <t>_x001B_[0;32mI (106302) Access Point: Runtime: 105934585 [us], Total Bytes: 43283339, Bytes: 1238912[B/s], Throughput; 1000000.000000_x001B_[0m</t>
  </si>
  <si>
    <t>_x001B_[0;32mI (107302) Access Point: Runtime: 106934584 [us], Total Bytes: 44492267, Bytes: 1208928[B/s], Throughput; 1000000.000000_x001B_[0m</t>
  </si>
  <si>
    <t>_x001B_[0;32mI (108302) Access Point: Runtime: 107934585 [us], Total Bytes: 45659243, Bytes: 1166976[B/s], Throughput; 1000000.000000_x001B_[0m</t>
  </si>
  <si>
    <t>_x001B_[0;32mI (109302) Access Point: Runtime: 108934642 [us], Total Bytes: 46756747, Bytes: 1097504[B/s], Throughput; 1000000.000000_x001B_[0m</t>
  </si>
  <si>
    <t>_x001B_[0;32mI (110302) Access Point: Runtime: 109934584 [us], Total Bytes: 47985675, Bytes: 1228928[B/s], Throughput; 1000000.000000_x001B_[0m</t>
  </si>
  <si>
    <t>_x001B_[0;32mI (111302) Access Point: Runtime: 110934688 [us], Total Bytes: 49282059, Bytes: 1296384[B/s], Throughput; 1000000.000000_x001B_[0m</t>
  </si>
  <si>
    <t>_x001B_[0;32mI (112302) Access Point: Runtime: 111934609 [us], Total Bytes: 50516811, Bytes: 1234752[B/s], Throughput; 1000000.000000_x001B_[0m</t>
  </si>
  <si>
    <t>_x001B_[0;32mI (113302) Access Point: Runtime: 112934584 [us], Total Bytes: 51725483, Bytes: 1208672[B/s], Throughput; 1000000.000000_x001B_[0m</t>
  </si>
  <si>
    <t>_x001B_[0;32mI (114302) Access Point: Runtime: 113934584 [us], Total Bytes: 53003947, Bytes: 1278464[B/s], Throughput; 1000000.000000_x001B_[0m</t>
  </si>
  <si>
    <t>_x001B_[0;32mI (115302) Access Point: Runtime: 114934600 [us], Total Bytes: 54221899, Bytes: 1217952[B/s], Throughput; 1000000.000000_x001B_[0m</t>
  </si>
  <si>
    <t>_x001B_[0;32mI (116302) Access Point: Runtime: 115934653 [us], Total Bytes: 55672843, Bytes: 1450944[B/s], Throughput; 1000000.000000_x001B_[0m</t>
  </si>
  <si>
    <t>_x001B_[0;32mI (117302) Access Point: Runtime: 116934585 [us], Total Bytes: 57014539, Bytes: 1341696[B/s], Throughput; 1000000.000000_x001B_[0m</t>
  </si>
  <si>
    <t>_x001B_[0;32mI (6902) Access Point: Runtime: 6538742 [us], Total Bytes: 1146158, Bytes: 1146158[B/s], Throughput; 0.000000_x001B_[0m</t>
  </si>
  <si>
    <t>_x001B_[0;32mI (7902) Access Point: Runtime: 7538816 [us], Total Bytes: 2432331, Bytes: 1286173[B/s], Throughput; 1000000.000000_x001B_[0m</t>
  </si>
  <si>
    <t>_x001B_[0;32mI (8902) Access Point: Runtime: 8538734 [us], Total Bytes: 3577422, Bytes: 1145091[B/s], Throughput; 1000000.000000_x001B_[0m</t>
  </si>
  <si>
    <t>_x001B_[0;32mI (9902) Access Point: Runtime: 9538797 [us], Total Bytes: 4927563, Bytes: 1350141[B/s], Throughput; 1000000.000000_x001B_[0m</t>
  </si>
  <si>
    <t>_x001B_[0;32mI (10902) Access Point: Runtime: 10538870 [us], Total Bytes: 6177398, Bytes: 1249835[B/s], Throughput; 1000000.000000_x001B_[0m</t>
  </si>
  <si>
    <t>_x001B_[0;32mI (11902) Access Point: Runtime: 11538735 [us], Total Bytes: 7479924, Bytes: 1302526[B/s], Throughput; 1000000.000000_x001B_[0m</t>
  </si>
  <si>
    <t>_x001B_[0;32mI (12902) Access Point: Runtime: 12538735 [us], Total Bytes: 8679602, Bytes: 1199678[B/s], Throughput; 1000000.000000_x001B_[0m</t>
  </si>
  <si>
    <t>_x001B_[0;32mI (13902) Access Point: Runtime: 13538734 [us], Total Bytes: 9931211, Bytes: 1251609[B/s], Throughput; 1000000.000000_x001B_[0m</t>
  </si>
  <si>
    <t>_x001B_[0;32mI (14902) Access Point: Runtime: 14538735 [us], Total Bytes: 11130570, Bytes: 1199359[B/s], Throughput; 1000000.000000_x001B_[0m</t>
  </si>
  <si>
    <t>_x001B_[0;32mI (15902) Access Point: Runtime: 15538755 [us], Total Bytes: 12059687, Bytes: 929117[B/s], Throughput; 0.000000_x001B_[0m</t>
  </si>
  <si>
    <t>_x001B_[0;32mI (16902) Access Point: Runtime: 16538854 [us], Total Bytes: 13453810, Bytes: 1394123[B/s], Throughput; 1000000.000000_x001B_[0m</t>
  </si>
  <si>
    <t>_x001B_[0;32mI (17902) Access Point: Runtime: 17538734 [us], Total Bytes: 14829287, Bytes: 1375477[B/s], Throughput; 1000000.000000_x001B_[0m</t>
  </si>
  <si>
    <t>_x001B_[0;32mI (18902) Access Point: Runtime: 18538735 [us], Total Bytes: 16067959, Bytes: 1238672[B/s], Throughput; 1000000.000000_x001B_[0m</t>
  </si>
  <si>
    <t>_x001B_[0;32mI (19902) Access Point: Runtime: 19538734 [us], Total Bytes: 17167665, Bytes: 1099706[B/s], Throughput; 1000000.000000_x001B_[0m</t>
  </si>
  <si>
    <t>_x001B_[0;32mI (20902) Access Point: Runtime: 20538734 [us], Total Bytes: 18360785, Bytes: 1193120[B/s], Throughput; 1000000.000000_x001B_[0m</t>
  </si>
  <si>
    <t>_x001B_[0;32mI (21902) Access Point: Runtime: 21538768 [us], Total Bytes: 19621703, Bytes: 1260918[B/s], Throughput; 1000000.000000_x001B_[0m</t>
  </si>
  <si>
    <t>_x001B_[0;32mI (22902) Access Point: Runtime: 22538734 [us], Total Bytes: 20774882, Bytes: 1153179[B/s], Throughput; 1000000.000000_x001B_[0m</t>
  </si>
  <si>
    <t>_x001B_[0;32mI (23902) Access Point: Runtime: 23538734 [us], Total Bytes: 21965974, Bytes: 1191092[B/s], Throughput; 1000000.000000_x001B_[0m</t>
  </si>
  <si>
    <t>_x001B_[0;32mI (24902) Access Point: Runtime: 24538735 [us], Total Bytes: 23169839, Bytes: 1203865[B/s], Throughput; 1000000.000000_x001B_[0m</t>
  </si>
  <si>
    <t>_x001B_[0;32mI (25902) Access Point: Runtime: 25538735 [us], Total Bytes: 24382875, Bytes: 1213036[B/s], Throughput; 1000000.000000_x001B_[0m</t>
  </si>
  <si>
    <t>_x001B_[0;32mI (26902) Access Point: Runtime: 26538737 [us], Total Bytes: 25574784, Bytes: 1191909[B/s], Throughput; 1000000.000000_x001B_[0m</t>
  </si>
  <si>
    <t>_x001B_[0;32mI (27902) Access Point: Runtime: 27538734 [us], Total Bytes: 26676177, Bytes: 1101393[B/s], Throughput; 1000000.000000_x001B_[0m</t>
  </si>
  <si>
    <t>_x001B_[0;32mI (28902) Access Point: Runtime: 28538734 [us], Total Bytes: 27713355, Bytes: 1037178[B/s], Throughput; 1000000.000000_x001B_[0m</t>
  </si>
  <si>
    <t>_x001B_[0;32mI (29902) Access Point: Runtime: 29538734 [us], Total Bytes: 28902554, Bytes: 1189199[B/s], Throughput; 1000000.000000_x001B_[0m</t>
  </si>
  <si>
    <t>_x001B_[0;32mI (30902) Access Point: Runtime: 30538735 [us], Total Bytes: 29979258, Bytes: 1076704[B/s], Throughput; 1000000.000000_x001B_[0m</t>
  </si>
  <si>
    <t>_x001B_[0;32mI (17152) Access Point: Runtime: 16787830 [us], Total Bytes: 2978311, Bytes: 1055100[B/s], Throughput; 1000000.000000_x001B_[0m</t>
  </si>
  <si>
    <t>_x001B_[0;32mI (18152) Access Point: Runtime: 17787830 [us], Total Bytes: 3932131, Bytes: 953820[B/s], Throughput; 0.000000_x001B_[0m</t>
  </si>
  <si>
    <t>_x001B_[0;32mI (19152) Access Point: Runtime: 18787830 [us], Total Bytes: 5016411, Bytes: 1084280[B/s], Throughput; 1000000.000000_x001B_[0m</t>
  </si>
  <si>
    <t>_x001B_[0;32mI (20152) Access Point: Runtime: 19787848 [us], Total Bytes: 6104951, Bytes: 1088540[B/s], Throughput; 1000000.000000_x001B_[0m</t>
  </si>
  <si>
    <t>_x001B_[0;32mI (21152) Access Point: Runtime: 20787830 [us], Total Bytes: 7152411, Bytes: 1047460[B/s], Throughput; 1000000.000000_x001B_[0m</t>
  </si>
  <si>
    <t>_x001B_[0;32mI (22152) Access Point: Runtime: 21787831 [us], Total Bytes: 7961191, Bytes: 808780[B/s], Throughput; 0.000000_x001B_[0m</t>
  </si>
  <si>
    <t>_x001B_[0;32mI (23152) Access Point: Runtime: 22787830 [us], Total Bytes: 8910591, Bytes: 949400[B/s], Throughput; 0.000000_x001B_[0m</t>
  </si>
  <si>
    <t>_x001B_[0;32mI (24152) Access Point: Runtime: 23787830 [us], Total Bytes: 9837951, Bytes: 927360[B/s], Throughput; 0.000000_x001B_[0m</t>
  </si>
  <si>
    <t>_x001B_[0;32mI (25152) Access Point: Runtime: 24787832 [us], Total Bytes: 10903231, Bytes: 1065280[B/s], Throughput; 1000000.000000_x001B_[0m</t>
  </si>
  <si>
    <t>_x001B_[0;32mI (26152) Access Point: Runtime: 25787831 [us], Total Bytes: 12009791, Bytes: 1106560[B/s], Throughput; 1000000.000000_x001B_[0m</t>
  </si>
  <si>
    <t>_x001B_[0;32mI (27152) Access Point: Runtime: 26787831 [us], Total Bytes: 13262131, Bytes: 1252340[B/s], Throughput; 1000000.000000_x001B_[0m</t>
  </si>
  <si>
    <t>_x001B_[0;32mI (28152) Access Point: Runtime: 27787830 [us], Total Bytes: 14364511, Bytes: 1102380[B/s], Throughput; 1000000.000000_x001B_[0m</t>
  </si>
  <si>
    <t>_x001B_[0;32mI (29152) Access Point: Runtime: 28787831 [us], Total Bytes: 15448911, Bytes: 1084400[B/s], Throughput; 1000000.000000_x001B_[0m</t>
  </si>
  <si>
    <t>_x001B_[0;32mI (30152) Access Point: Runtime: 29787831 [us], Total Bytes: 16527171, Bytes: 1078260[B/s], Throughput; 1000000.000000_x001B_[0m</t>
  </si>
  <si>
    <t>_x001B_[0;32mI (31152) Access Point: Runtime: 30787863 [us], Total Bytes: 17490571, Bytes: 963400[B/s], Throughput; 0.000000_x001B_[0m</t>
  </si>
  <si>
    <t>_x001B_[0;32mI (32152) Access Point: Runtime: 31787831 [us], Total Bytes: 18572671, Bytes: 1082100[B/s], Throughput; 1000000.000000_x001B_[0m</t>
  </si>
  <si>
    <t>_x001B_[0;32mI (33152) Access Point: Runtime: 32787830 [us], Total Bytes: 19635491, Bytes: 1062820[B/s], Throughput; 1000000.000000_x001B_[0m</t>
  </si>
  <si>
    <t>_x001B_[0;32mI (34152) Access Point: Runtime: 33787831 [us], Total Bytes: 20868691, Bytes: 1233200[B/s], Throughput; 1000000.000000_x001B_[0m</t>
  </si>
  <si>
    <t>_x001B_[0;32mI (35152) Access Point: Runtime: 34787830 [us], Total Bytes: 21956551, Bytes: 1087860[B/s], Throughput; 1000000.000000_x001B_[0m</t>
  </si>
  <si>
    <t>_x001B_[0;32mI (36152) Access Point: Runtime: 35787830 [us], Total Bytes: 23042031, Bytes: 1085480[B/s], Throughput; 1000000.000000_x001B_[0m</t>
  </si>
  <si>
    <t>_x001B_[0;32mI (37152) Access Point: Runtime: 36787831 [us], Total Bytes: 24034011, Bytes: 991980[B/s], Throughput; 0.000000_x001B_[0m</t>
  </si>
  <si>
    <t>_x001B_[0;32mI (38152) Access Point: Runtime: 37787833 [us], Total Bytes: 25003971, Bytes: 969960[B/s], Throughput; 0.000000_x001B_[0m</t>
  </si>
  <si>
    <t>_x001B_[0;32mI (39152) Access Point: Runtime: 38787875 [us], Total Bytes: 26040031, Bytes: 1036060[B/s], Throughput; 1000000.000000_x001B_[0m</t>
  </si>
  <si>
    <t>_x001B_[0;32mI (40152) Access Point: Runtime: 39787830 [us], Total Bytes: 27139891, Bytes: 1099860[B/s], Throughput; 1000000.000000_x001B_[0m</t>
  </si>
  <si>
    <t>_x001B_[0;32mI (41152) Access Point: Runtime: 40787830 [us], Total Bytes: 28141051, Bytes: 1001160[B/s], Throughput; 1000000.000000_x001B_[0m</t>
  </si>
  <si>
    <t>_x001B_[0;32mI (42152) Access Point: Runtime: 41787830 [us], Total Bytes: 29071011, Bytes: 929960[B/s], Throughput; 0.000000_x001B_[0m</t>
  </si>
  <si>
    <t>_x001B_[0;32mI (43152) Access Point: Runtime: 42787880 [us], Total Bytes: 29961971, Bytes: 890960[B/s], Throughput; 0.000000_x001B_[0m</t>
  </si>
  <si>
    <t>_x001B_[0;32mI (44152) Access Point: Runtime: 43787831 [us], Total Bytes: 31082571, Bytes: 1120600[B/s], Throughput; 1000000.000000_x001B_[0m</t>
  </si>
  <si>
    <t>_x001B_[0;32mI (45152) Access Point: Runtime: 44787830 [us], Total Bytes: 32075011, Bytes: 992440[B/s], Throughput; 0.000000_x001B_[0m</t>
  </si>
  <si>
    <t>_x001B_[0;32mI (46152) Access Point: Runtime: 45787831 [us], Total Bytes: 33062591, Bytes: 987580[B/s], Throughput; 0.000000_x001B_[0m</t>
  </si>
  <si>
    <t>_x001B_[0;32mI (47152) Access Point: Runtime: 46787831 [us], Total Bytes: 34160871, Bytes: 1098280[B/s], Throughput; 1000000.000000_x001B_[0m</t>
  </si>
  <si>
    <t>_x001B_[0;32mI (48152) Access Point: Runtime: 47787831 [us], Total Bytes: 35135991, Bytes: 975120[B/s], Throughput; 0.000000_x001B_[0m</t>
  </si>
  <si>
    <t>_x001B_[0;32mI (49152) Access Point: Runtime: 48787831 [us], Total Bytes: 36117211, Bytes: 981220[B/s], Throughput; 0.000000_x001B_[0m</t>
  </si>
  <si>
    <t>_x001B_[0;32mI (8302) Access Point: Runtime: 7937305 [us], Total Bytes: 1555976, Bytes: 800838[B/s], Throughput; 0.000000_x001B_[0m</t>
  </si>
  <si>
    <t>_x001B_[0;32mI (9302) Access Point: Runtime: 8937305 [us], Total Bytes: 2400287, Bytes: 844311[B/s], Throughput; 0.000000_x001B_[0m</t>
  </si>
  <si>
    <t>_x001B_[0;32mI (10302) Access Point: Runtime: 9937305 [us], Total Bytes: 3236021, Bytes: 835734[B/s], Throughput; 0.000000_x001B_[0m</t>
  </si>
  <si>
    <t>_x001B_[0;32mI (11302) Access Point: Runtime: 10937305 [us], Total Bytes: 4011182, Bytes: 775161[B/s], Throughput; 0.000000_x001B_[0m</t>
  </si>
  <si>
    <t>_x001B_[0;32mI (12302) Access Point: Runtime: 11937324 [us], Total Bytes: 4951319, Bytes: 940137[B/s], Throughput; 0.000000_x001B_[0m</t>
  </si>
  <si>
    <t>_x001B_[0;32mI (13302) Access Point: Runtime: 12937305 [us], Total Bytes: 5915474, Bytes: 964155[B/s], Throughput; 0.000000_x001B_[0m</t>
  </si>
  <si>
    <t>_x001B_[0;32mI (14302) Access Point: Runtime: 13937359 [us], Total Bytes: 6728852, Bytes: 813378[B/s], Throughput; 0.000000_x001B_[0m</t>
  </si>
  <si>
    <t>_x001B_[0;32mI (15302) Access Point: Runtime: 14937305 [us], Total Bytes: 7548788, Bytes: 819936[B/s], Throughput; 0.000000_x001B_[0m</t>
  </si>
  <si>
    <t>_x001B_[0;32mI (16302) Access Point: Runtime: 15937305 [us], Total Bytes: 8407877, Bytes: 859089[B/s], Throughput; 0.000000_x001B_[0m</t>
  </si>
  <si>
    <t>_x001B_[0;32mI (17302) Access Point: Runtime: 16937382 [us], Total Bytes: 9204248, Bytes: 796371[B/s], Throughput; 0.000000_x001B_[0m</t>
  </si>
  <si>
    <t>_x001B_[0;32mI (18302) Access Point: Runtime: 17937307 [us], Total Bytes: 10187207, Bytes: 982959[B/s], Throughput; 0.000000_x001B_[0m</t>
  </si>
  <si>
    <t>_x001B_[0;32mI (19302) Access Point: Runtime: 18937304 [us], Total Bytes: 11186699, Bytes: 999492[B/s], Throughput; 0.000000_x001B_[0m</t>
  </si>
  <si>
    <t>_x001B_[0;32mI (20302) Access Point: Runtime: 19937304 [us], Total Bytes: 12170888, Bytes: 984189[B/s], Throughput; 0.000000_x001B_[0m</t>
  </si>
  <si>
    <t>_x001B_[0;32mI (21302) Access Point: Runtime: 20937305 [us], Total Bytes: 13090340, Bytes: 919452[B/s], Throughput; 0.000000_x001B_[0m</t>
  </si>
  <si>
    <t>_x001B_[0;32mI (22302) Access Point: Runtime: 21937304 [us], Total Bytes: 14015069, Bytes: 924729[B/s], Throughput; 0.000000_x001B_[0m</t>
  </si>
  <si>
    <t>_x001B_[0;32mI (23302) Access Point: Runtime: 22937304 [us], Total Bytes: 14926880, Bytes: 911811[B/s], Throughput; 0.000000_x001B_[0m</t>
  </si>
  <si>
    <t>_x001B_[0;32mI (24302) Access Point: Runtime: 23937304 [us], Total Bytes: 15836957, Bytes: 910077[B/s], Throughput; 0.000000_x001B_[0m</t>
  </si>
  <si>
    <t>_x001B_[0;32mI (25302) Access Point: Runtime: 24937305 [us], Total Bytes: 16836239, Bytes: 999282[B/s], Throughput; 0.000000_x001B_[0m</t>
  </si>
  <si>
    <t>_x001B_[0;32mI (26302) Access Point: Runtime: 25937304 [us], Total Bytes: 17867789, Bytes: 1031550[B/s], Throughput; 1000000.000000_x001B_[0m</t>
  </si>
  <si>
    <t>_x001B_[0;32mI (27302) Access Point: Runtime: 26937305 [us], Total Bytes: 18885749, Bytes: 1017960[B/s], Throughput; 1000000.000000_x001B_[0m</t>
  </si>
  <si>
    <t>_x001B_[0;32mI (28302) Access Point: Runtime: 27937305 [us], Total Bytes: 19871714, Bytes: 985965[B/s], Throughput; 0.000000_x001B_[0m</t>
  </si>
  <si>
    <t>_x001B_[0;32mI (29302) Access Point: Runtime: 28937325 [us], Total Bytes: 20871815, Bytes: 1000101[B/s], Throughput; 1000000.000000_x001B_[0m</t>
  </si>
  <si>
    <t>_x001B_[0;32mI (30302) Access Point: Runtime: 29937305 [us], Total Bytes: 21824651, Bytes: 952836[B/s], Throughput; 0.000000_x001B_[0m</t>
  </si>
  <si>
    <t>_x001B_[0;32mI (31302) Access Point: Runtime: 30937304 [us], Total Bytes: 22659860, Bytes: 835209[B/s], Throughput; 0.000000_x001B_[0m</t>
  </si>
  <si>
    <t>_x001B_[0;32mI (32302) Access Point: Runtime: 31937305 [us], Total Bytes: 23513051, Bytes: 853191[B/s], Throughput; 0.000000_x001B_[0m</t>
  </si>
  <si>
    <t>_x001B_[0;32mI (33302) Access Point: Runtime: 32937348 [us], Total Bytes: 24459821, Bytes: 946770[B/s], Throughput; 0.000000_x001B_[0m</t>
  </si>
  <si>
    <t>_x001B_[0;32mI (34302) Access Point: Runtime: 33937305 [us], Total Bytes: 25226951, Bytes: 767130[B/s], Throughput; 0.000000_x001B_[0m</t>
  </si>
  <si>
    <t>_x001B_[0;32mI (35302) Access Point: Runtime: 34937360 [us], Total Bytes: 25789541, Bytes: 562590[B/s], Throughput; 0.000000_x001B_[0m</t>
  </si>
  <si>
    <t>_x001B_[0;32mI (36302) Access Point: Runtime: 35937305 [us], Total Bytes: 26639885, Bytes: 850344[B/s], Throughput; 0.000000_x001B_[0m</t>
  </si>
  <si>
    <t>_x001B_[0;32mI (37302) Access Point: Runtime: 36937305 [us], Total Bytes: 27536792, Bytes: 896907[B/s], Throughput; 0.000000_x001B_[0m</t>
  </si>
  <si>
    <t>_x001B_[0;32mI (9332) Access Point: Runtime: 8962163 [us], Total Bytes: 4599361, Bytes: 1151850[B/s], Throughput; 1000000.000000_x001B_[0m</t>
  </si>
  <si>
    <t>_x001B_[0;32mI (10332) Access Point: Runtime: 9962163 [us], Total Bytes: 5765001, Bytes: 1165640[B/s], Throughput; 1000000.000000_x001B_[0m</t>
  </si>
  <si>
    <t>_x001B_[0;32mI (11332) Access Point: Runtime: 10962163 [us], Total Bytes: 7007161, Bytes: 1242160[B/s], Throughput; 1000000.000000_x001B_[0m</t>
  </si>
  <si>
    <t>_x001B_[0;32mI (12332) Access Point: Runtime: 11962164 [us], Total Bytes: 7909111, Bytes: 901950[B/s], Throughput; 0.000000_x001B_[0m</t>
  </si>
  <si>
    <t>_x001B_[0;32mI (13332) Access Point: Runtime: 12962164 [us], Total Bytes: 8934811, Bytes: 1025700[B/s], Throughput; 1000000.000000_x001B_[0m</t>
  </si>
  <si>
    <t>_x001B_[0;32mI (14332) Access Point: Runtime: 13962164 [us], Total Bytes: 9874031, Bytes: 939220[B/s], Throughput; 0.000000_x001B_[0m</t>
  </si>
  <si>
    <t>_x001B_[0;32mI (15332) Access Point: Runtime: 14962164 [us], Total Bytes: 10805541, Bytes: 931510[B/s], Throughput; 0.000000_x001B_[0m</t>
  </si>
  <si>
    <t>_x001B_[0;32mI (16332) Access Point: Runtime: 15962163 [us], Total Bytes: 11695901, Bytes: 890360[B/s], Throughput; 0.000000_x001B_[0m</t>
  </si>
  <si>
    <t>_x001B_[0;32mI (17332) Access Point: Runtime: 16962163 [us], Total Bytes: 12584911, Bytes: 889010[B/s], Throughput; 0.000000_x001B_[0m</t>
  </si>
  <si>
    <t>_x001B_[0;32mI (18332) Access Point: Runtime: 17962163 [us], Total Bytes: 13457251, Bytes: 872340[B/s], Throughput; 0.000000_x001B_[0m</t>
  </si>
  <si>
    <t>_x001B_[0;32mI (19332) Access Point: Runtime: 18962164 [us], Total Bytes: 14506261, Bytes: 1049010[B/s], Throughput; 1000000.000000_x001B_[0m</t>
  </si>
  <si>
    <t>_x001B_[0;32mI (20332) Access Point: Runtime: 19962163 [us], Total Bytes: 15257381, Bytes: 751120[B/s], Throughput; 0.000000_x001B_[0m</t>
  </si>
  <si>
    <t>_x001B_[0;32mI (21332) Access Point: Runtime: 20962214 [us], Total Bytes: 16038161, Bytes: 780780[B/s], Throughput; 0.000000_x001B_[0m</t>
  </si>
  <si>
    <t>_x001B_[0;32mI (22332) Access Point: Runtime: 21962164 [us], Total Bytes: 16945361, Bytes: 907200[B/s], Throughput; 0.000000_x001B_[0m</t>
  </si>
  <si>
    <t>_x001B_[0;32mI (23332) Access Point: Runtime: 22962164 [us], Total Bytes: 17574381, Bytes: 629020[B/s], Throughput; 0.000000_x001B_[0m</t>
  </si>
  <si>
    <t>_x001B_[0;32mI (24332) Access Point: Runtime: 23962166 [us], Total Bytes: 18630531, Bytes: 1056150[B/s], Throughput; 1000000.000000_x001B_[0m</t>
  </si>
  <si>
    <t>_x001B_[0;32mI (25332) Access Point: Runtime: 24962164 [us], Total Bytes: 19744571, Bytes: 1114040[B/s], Throughput; 1000000.000000_x001B_[0m</t>
  </si>
  <si>
    <t>_x001B_[0;32mI (26332) Access Point: Runtime: 25962163 [us], Total Bytes: 20793061, Bytes: 1048490[B/s], Throughput; 1000000.000000_x001B_[0m</t>
  </si>
  <si>
    <t>_x001B_[0;32mI (27332) Access Point: Runtime: 26962163 [us], Total Bytes: 21899151, Bytes: 1106090[B/s], Throughput; 1000000.000000_x001B_[0m</t>
  </si>
  <si>
    <t>_x001B_[0;32mI (28332) Access Point: Runtime: 27962164 [us], Total Bytes: 22999761, Bytes: 1100610[B/s], Throughput; 1000000.000000_x001B_[0m</t>
  </si>
  <si>
    <t>_x001B_[0;32mI (29332) Access Point: Runtime: 28962163 [us], Total Bytes: 23841711, Bytes: 841950[B/s], Throughput; 0.000000_x001B_[0m</t>
  </si>
  <si>
    <t>_x001B_[0;32mI (30332) Access Point: Runtime: 29962163 [us], Total Bytes: 24493181, Bytes: 651470[B/s], Throughput; 0.000000_x001B_[0m</t>
  </si>
  <si>
    <t>_x001B_[0;32mI (31332) Access Point: Runtime: 30962163 [us], Total Bytes: 25389621, Bytes: 896440[B/s], Throughput; 0.000000_x001B_[0m</t>
  </si>
  <si>
    <t>_x001B_[0;32mI (32332) Access Point: Runtime: 31962163 [us], Total Bytes: 26244591, Bytes: 854970[B/s], Throughput; 0.000000_x001B_[0m</t>
  </si>
  <si>
    <t>_x001B_[0;32mI (33332) Access Point: Runtime: 32962163 [us], Total Bytes: 27091471, Bytes: 846880[B/s], Throughput; 0.000000_x001B_[0m</t>
  </si>
  <si>
    <t>_x001B_[0;32mI (34332) Access Point: Runtime: 33962166 [us], Total Bytes: 27892261, Bytes: 800790[B/s], Throughput; 0.000000_x001B_[0m</t>
  </si>
  <si>
    <t>_x001B_[0;32mI (35332) Access Point: Runtime: 34962164 [us], Total Bytes: 28664201, Bytes: 771940[B/s], Throughput; 0.000000_x001B_[0m</t>
  </si>
  <si>
    <t>_x001B_[0;32mI (36332) Access Point: Runtime: 35962163 [us], Total Bytes: 29613281, Bytes: 949080[B/s], Throughput; 0.000000_x001B_[0m</t>
  </si>
  <si>
    <t>_x001B_[0;32mI (37332) Access Point: Runtime: 36962164 [us], Total Bytes: 30690341, Bytes: 1077060[B/s], Throughput; 1000000.000000_x001B_[0m</t>
  </si>
  <si>
    <t>_x001B_[0;32mI (38332) Access Point: Runtime: 37962166 [us], Total Bytes: 31678301, Bytes: 987960[B/s], Throughput; 0.000000_x001B_[0m</t>
  </si>
  <si>
    <t>_x001B_[0;32mI (39332) Access Point: Runtime: 38962164 [us], Total Bytes: 32802481, Bytes: 1124180[B/s], Throughput; 1000000.000000_x001B_[0m</t>
  </si>
  <si>
    <t>_x001B_[0;32mI (40332) Access Point: Runtime: 39962164 [us], Total Bytes: 34181711, Bytes: 1379230[B/s], Throughput; 1000000.000000_x001B_[0m</t>
  </si>
  <si>
    <t>_x001B_[0;32mI (41332) Access Point: Runtime: 40962163 [us], Total Bytes: 35494731, Bytes: 1313020[B/s], Throughput; 1000000.000000_x001B_[0m</t>
  </si>
  <si>
    <t>_x001B_[0;32mI (42332) Access Point: Runtime: 41962164 [us], Total Bytes: 36880541, Bytes: 1385810[B/s], Throughput; 1000000.000000_x001B_[0m</t>
  </si>
  <si>
    <t>_x001B_[0;32mI (43332) Access Point: Runtime: 42962164 [us], Total Bytes: 38263108, Bytes: 1382567[B/s], Throughput; 1000000.000000_x001B_[0m</t>
  </si>
  <si>
    <t>_x001B_[0;32mI (44332) Access Point: Runtime: 43962164 [us], Total Bytes: 39513521, Bytes: 1250413[B/s], Throughput; 1000000.000000_x001B_[0m</t>
  </si>
  <si>
    <t>_x001B_[0;32mI (45332) Access Point: Runtime: 44962164 [us], Total Bytes: 40854951, Bytes: 1341430[B/s], Throughput; 1000000.000000_x001B_[0m</t>
  </si>
  <si>
    <t>_x001B_[0;32mI (46332) Access Point: Runtime: 45962204 [us], Total Bytes: 42313721, Bytes: 1458770[B/s], Throughput; 1000000.000000_x001B_[0m</t>
  </si>
  <si>
    <t>_x001B_[0;32mI (81512) Access Point: Runtime: 81142174 [us], Total Bytes: 73196567, Bytes: 1094777[B/s], Throughput; 1000000.000000_x001B_[0m</t>
  </si>
  <si>
    <t>_x001B_[0;32mI (82512) Access Point: Runtime: 82142173 [us], Total Bytes: 74303529, Bytes: 1106962[B/s], Throughput; 1000000.000000_x001B_[0m</t>
  </si>
  <si>
    <t>_x001B_[0;32mI (83512) Access Point: Runtime: 83142174 [us], Total Bytes: 75492920, Bytes: 1189391[B/s], Throughput; 1000000.000000_x001B_[0m</t>
  </si>
  <si>
    <t>_x001B_[0;32mI (84512) Access Point: Runtime: 84142252 [us], Total Bytes: 76715786, Bytes: 1222866[B/s], Throughput; 1000000.000000_x001B_[0m</t>
  </si>
  <si>
    <t>_x001B_[0;32mI (85512) Access Point: Runtime: 85142174 [us], Total Bytes: 78154401, Bytes: 1438615[B/s], Throughput; 1000000.000000_x001B_[0m</t>
  </si>
  <si>
    <t>_x001B_[0;32mI (86512) Access Point: Runtime: 86142173 [us], Total Bytes: 79539529, Bytes: 1385128[B/s], Throughput; 1000000.000000_x001B_[0m</t>
  </si>
  <si>
    <t>_x001B_[0;32mI (87512) Access Point: Runtime: 87142176 [us], Total Bytes: 80816676, Bytes: 1277147[B/s], Throughput; 1000000.000000_x001B_[0m</t>
  </si>
  <si>
    <t>_x001B_[0;32mI (88512) Access Point: Runtime: 88142228 [us], Total Bytes: 82184718, Bytes: 1368042[B/s], Throughput; 1000000.000000_x001B_[0m</t>
  </si>
  <si>
    <t>_x001B_[0;32mI (89512) Access Point: Runtime: 89142191 [us], Total Bytes: 83594623, Bytes: 1409905[B/s], Throughput; 1000000.000000_x001B_[0m</t>
  </si>
  <si>
    <t>_x001B_[0;32mI (90512) Access Point: Runtime: 90142173 [us], Total Bytes: 84935537, Bytes: 1340914[B/s], Throughput; 1000000.000000_x001B_[0m</t>
  </si>
  <si>
    <t>_x001B_[0;32mI (91512) Access Point: Runtime: 91142242 [us], Total Bytes: 86235266, Bytes: 1299729[B/s], Throughput; 1000000.000000_x001B_[0m</t>
  </si>
  <si>
    <t>_x001B_[0;32mI (92512) Access Point: Runtime: 92142174 [us], Total Bytes: 87580526, Bytes: 1345260[B/s], Throughput; 1000000.000000_x001B_[0m</t>
  </si>
  <si>
    <t>_x001B_[0;32mI (93512) Access Point: Runtime: 93142174 [us], Total Bytes: 88905019, Bytes: 1324493[B/s], Throughput; 1000000.000000_x001B_[0m</t>
  </si>
  <si>
    <t>_x001B_[0;32mI (94512) Access Point: Runtime: 94142174 [us], Total Bytes: 90073998, Bytes: 1168979[B/s], Throughput; 1000000.000000_x001B_[0m</t>
  </si>
  <si>
    <t>_x001B_[0;32mI (95512) Access Point: Runtime: 95142174 [us], Total Bytes: 91447987, Bytes: 1373989[B/s], Throughput; 1000000.000000_x001B_[0m</t>
  </si>
  <si>
    <t>_x001B_[0;32mI (96512) Access Point: Runtime: 96142204 [us], Total Bytes: 92887719, Bytes: 1439732[B/s], Throughput; 1000000.000000_x001B_[0m</t>
  </si>
  <si>
    <t>_x001B_[0;32mI (97512) Access Point: Runtime: 97142204 [us], Total Bytes: 94332139, Bytes: 1444420[B/s], Throughput; 1000000.000000_x001B_[0m</t>
  </si>
  <si>
    <t>_x001B_[0;32mI (98512) Access Point: Runtime: 98142173 [us], Total Bytes: 95726669, Bytes: 1394530[B/s], Throughput; 1000000.000000_x001B_[0m</t>
  </si>
  <si>
    <t>_x001B_[0;32mI (99512) Access Point: Runtime: 99142173 [us], Total Bytes: 97163450, Bytes: 1436781[B/s], Throughput; 1000000.000000_x001B_[0m</t>
  </si>
  <si>
    <t>_x001B_[0;32mI (100512) Access Point: Runtime: 100142199 [us], Total Bytes: 98673290, Bytes: 1509840[B/s], Throughput; 1000000.000000_x001B_[0m</t>
  </si>
  <si>
    <t>_x001B_[0;32mI (101512) Access Point: Runtime: 101142173 [us], Total Bytes: 100004376, Bytes: 1331086[B/s], Throughput; 1000000.000000_x001B_[0m</t>
  </si>
  <si>
    <t>_x001B_[0;32mI (102512) Access Point: Runtime: 102142174 [us], Total Bytes: 101450236, Bytes: 1445860[B/s], Throughput; 1000000.000000_x001B_[0m</t>
  </si>
  <si>
    <t>_x001B_[0;32mI (103512) Access Point: Runtime: 103142277 [us], Total Bytes: 102862046, Bytes: 1411810[B/s], Throughput; 1000000.000000_x001B_[0m</t>
  </si>
  <si>
    <t>_x001B_[0;32mI (104512) Access Point: Runtime: 104142186 [us], Total Bytes: 104243487, Bytes: 1381441[B/s], Throughput; 1000000.000000_x001B_[0m</t>
  </si>
  <si>
    <t>_x001B_[0;32mI (105512) Access Point: Runtime: 105142173 [us], Total Bytes: 105644694, Bytes: 1401207[B/s], Throughput; 1000000.000000_x001B_[0m</t>
  </si>
  <si>
    <t>_x001B_[0;32mI (106512) Access Point: Runtime: 106142251 [us], Total Bytes: 107140528, Bytes: 1495834[B/s], Throughput; 1000000.000000_x001B_[0m</t>
  </si>
  <si>
    <t>_x001B_[0;32mI (107512) Access Point: Runtime: 107142174 [us], Total Bytes: 108679039, Bytes: 1538511[B/s], Throughput; 1000000.000000_x001B_[0m</t>
  </si>
  <si>
    <t>_x001B_[0;32mI (108512) Access Point: Runtime: 108142176 [us], Total Bytes: 110071722, Bytes: 1392683[B/s], Throughput; 1000000.000000_x001B_[0m</t>
  </si>
  <si>
    <t>_x001B_[0;32mI (109512) Access Point: Runtime: 109142173 [us], Total Bytes: 111549979, Bytes: 1478257[B/s], Throughput; 1000000.000000_x001B_[0m</t>
  </si>
  <si>
    <t>_x001B_[0;32mI (110512) Access Point: Runtime: 110142173 [us], Total Bytes: 113075504, Bytes: 1525525[B/s], Throughput; 1000000.000000_x001B_[0m</t>
  </si>
  <si>
    <t>_x001B_[0;32mI (111512) Access Point: Runtime: 111142174 [us], Total Bytes: 114512989, Bytes: 1437485[B/s], Throughput; 1000000.000000_x001B_[0m</t>
  </si>
  <si>
    <t>_x001B_[0;32mI (112512) Access Point: Runtime: 112142174 [us], Total Bytes: 116062484, Bytes: 1549495[B/s], Throughput; 1000000.000000_x001B_[0m</t>
  </si>
  <si>
    <t>_x001B_[0;32mI (113512) Access Point: Runtime: 113142174 [us], Total Bytes: 117412122, Bytes: 1349638[B/s], Throughput; 1000000.000000_x001B_[0m</t>
  </si>
  <si>
    <t>_x001B_[0;32mI (114512) Access Point: Runtime: 114142173 [us], Total Bytes: 118817339, Bytes: 1405217[B/s], Throughput; 1000000.000000_x001B_[0m</t>
  </si>
  <si>
    <t>_x001B_[0;32mI (115512) Access Point: Runtime: 115142174 [us], Total Bytes: 120303926, Bytes: 1486587[B/s], Throughput; 1000000.000000_x001B_[0m</t>
  </si>
  <si>
    <t>_x001B_[0;32mI (116512) Access Point: Runtime: 116142173 [us], Total Bytes: 121809995, Bytes: 1506069[B/s], Throughput; 1000000.000000_x001B_[0m</t>
  </si>
  <si>
    <t>_x001B_[0;32mI (117512) Access Point: Runtime: 117142173 [us], Total Bytes: 123306746, Bytes: 1496751[B/s], Throughput; 1000000.000000_x001B_[0m</t>
  </si>
  <si>
    <t>_x001B_[0;32mI (118512) Access Point: Runtime: 118142173 [us], Total Bytes: 124854504, Bytes: 1547758[B/s], Throughput; 1000000.000000_x001B_[0m</t>
  </si>
  <si>
    <t>_x001B_[0;32mI (119512) Access Point: Runtime: 119142193 [us], Total Bytes: 126280204, Bytes: 1425700[B/s], Throughput; 1000000.000000_x001B_[0m</t>
  </si>
  <si>
    <t>_x001B_[0;32mI (120512) Access Point: Runtime: 120142173 [us], Total Bytes: 127587856, Bytes: 1307652[B/s], Throughput; 1000000.000000_x001B_[0m</t>
  </si>
  <si>
    <t>_x001B_[0;32mI (121512) Access Point: Runtime: 121142173 [us], Total Bytes: 128966307, Bytes: 1378451[B/s], Throughput; 1000000.000000_x001B_[0m</t>
  </si>
  <si>
    <t>_x001B_[0;32mI (122512) Access Point: Runtime: 122142173 [us], Total Bytes: 130384187, Bytes: 1417880[B/s], Throughput; 1000000.000000_x001B_[0m</t>
  </si>
  <si>
    <t>_x001B_[0;32mI (123512) Access Point: Runtime: 123142175 [us], Total Bytes: 131893136, Bytes: 1508949[B/s], Throughput; 1000000.000000_x001B_[0m</t>
  </si>
  <si>
    <t>_x001B_[0;32mI (4062) Access Point: Runtime: 3692391 [us], Total Bytes: 1164593, Bytes: 1164593[B/s], Throughput; 0.000000_x001B_[0m</t>
  </si>
  <si>
    <t>_x001B_[0;32mI (5062) Access Point: Runtime: 4692390 [us], Total Bytes: 2398322, Bytes: 1233729[B/s], Throughput; 1000000.000000_x001B_[0m</t>
  </si>
  <si>
    <t>_x001B_[0;32mI (6062) Access Point: Runtime: 5692389 [us], Total Bytes: 3577422, Bytes: 1179100[B/s], Throughput; 1000000.000000_x001B_[0m</t>
  </si>
  <si>
    <t>_x001B_[0;32mI (7062) Access Point: Runtime: 6692433 [us], Total Bytes: 4867611, Bytes: 1290189[B/s], Throughput; 1000000.000000_x001B_[0m</t>
  </si>
  <si>
    <t>_x001B_[0;32mI (8062) Access Point: Runtime: 7692390 [us], Total Bytes: 6222038, Bytes: 1354427[B/s], Throughput; 1000000.000000_x001B_[0m</t>
  </si>
  <si>
    <t>_x001B_[0;32mI (9062) Access Point: Runtime: 8692397 [us], Total Bytes: 7540066, Bytes: 1318028[B/s], Throughput; 1000000.000000_x001B_[0m</t>
  </si>
  <si>
    <t>_x001B_[0;32mI (10062) Access Point: Runtime: 9692390 [us], Total Bytes: 8926207, Bytes: 1386141[B/s], Throughput; 1000000.000000_x001B_[0m</t>
  </si>
  <si>
    <t>_x001B_[0;32mI (11062) Access Point: Runtime: 10692390 [us], Total Bytes: 10211229, Bytes: 1285022[B/s], Throughput; 1000000.000000_x001B_[0m</t>
  </si>
  <si>
    <t>_x001B_[0;32mI (12062) Access Point: Runtime: 11692389 [us], Total Bytes: 11454563, Bytes: 1243334[B/s], Throughput; 1000000.000000_x001B_[0m</t>
  </si>
  <si>
    <t>_x001B_[0;32mI (13062) Access Point: Runtime: 12692389 [us], Total Bytes: 12770144, Bytes: 1315581[B/s], Throughput; 1000000.000000_x001B_[0m</t>
  </si>
  <si>
    <t>_x001B_[0;32mI (14062) Access Point: Runtime: 13692394 [us], Total Bytes: 14030739, Bytes: 1260595[B/s], Throughput; 1000000.000000_x001B_[0m</t>
  </si>
  <si>
    <t>_x001B_[0;32mI (15062) Access Point: Runtime: 14692391 [us], Total Bytes: 15059809, Bytes: 1029070[B/s], Throughput; 1000000.000000_x001B_[0m</t>
  </si>
  <si>
    <t>_x001B_[0;32mI (16062) Access Point: Runtime: 15692389 [us], Total Bytes: 16402332, Bytes: 1342523[B/s], Throughput; 1000000.000000_x001B_[0m</t>
  </si>
  <si>
    <t>_x001B_[0;32mI (17062) Access Point: Runtime: 16692389 [us], Total Bytes: 17703137, Bytes: 1300805[B/s], Throughput; 1000000.000000_x001B_[0m</t>
  </si>
  <si>
    <t>_x001B_[0;32mI (18062) Access Point: Runtime: 17692389 [us], Total Bytes: 19130700, Bytes: 1427563[B/s], Throughput; 1000000.000000_x001B_[0m</t>
  </si>
  <si>
    <t>_x001B_[0;32mI (19062) Access Point: Runtime: 18692390 [us], Total Bytes: 20520485, Bytes: 1389785[B/s], Throughput; 1000000.000000_x001B_[0m</t>
  </si>
  <si>
    <t>_x001B_[0;32mI (20062) Access Point: Runtime: 19692390 [us], Total Bytes: 21927109, Bytes: 1406624[B/s], Throughput; 1000000.000000_x001B_[0m</t>
  </si>
  <si>
    <t>_x001B_[0;32mI (21062) Access Point: Runtime: 20692399 [us], Total Bytes: 23253363, Bytes: 1326254[B/s], Throughput; 1000000.000000_x001B_[0m</t>
  </si>
  <si>
    <t>_x001B_[0;32mI (22062) Access Point: Runtime: 21692389 [us], Total Bytes: 24785689, Bytes: 1532326[B/s], Throughput; 1000000.000000_x001B_[0m</t>
  </si>
  <si>
    <t>_x001B_[0;32mI (23062) Access Point: Runtime: 22692390 [us], Total Bytes: 26219643, Bytes: 1433954[B/s], Throughput; 1000000.000000_x001B_[0m</t>
  </si>
  <si>
    <t>_x001B_[0;32mI (24062) Access Point: Runtime: 23692445 [us], Total Bytes: 27654767, Bytes: 1435124[B/s], Throughput; 1000000.000000_x001B_[0m</t>
  </si>
  <si>
    <t>_x001B_[0;32mI (25062) Access Point: Runtime: 24692389 [us], Total Bytes: 29178305, Bytes: 1523538[B/s], Throughput; 1000000.000000_x001B_[0m</t>
  </si>
  <si>
    <t>_x001B_[0;32mI (26062) Access Point: Runtime: 25692440 [us], Total Bytes: 30616860, Bytes: 1438555[B/s], Throughput; 1000000.000000_x001B_[0m</t>
  </si>
  <si>
    <t>_x001B_[0;32mI (27062) Access Point: Runtime: 26692440 [us], Total Bytes: 32141401, Bytes: 1524541[B/s], Throughput; 1000000.000000_x001B_[0m</t>
  </si>
  <si>
    <t>_x001B_[0;32mI (28062) Access Point: Runtime: 27692389 [us], Total Bytes: 33599132, Bytes: 1457731[B/s], Throughput; 1000000.000000_x001B_[0m</t>
  </si>
  <si>
    <t>_x001B_[0;32mI (29062) Access Point: Runtime: 28692389 [us], Total Bytes: 35127461, Bytes: 1528329[B/s], Throughput; 1000000.000000_x001B_[0m</t>
  </si>
  <si>
    <t>_x001B_[0;32mI (30062) Access Point: Runtime: 29692389 [us], Total Bytes: 36665855, Bytes: 1538394[B/s], Throughput; 1000000.000000_x001B_[0m</t>
  </si>
  <si>
    <t>_x001B_[0;32mI (31062) Access Point: Runtime: 30692391 [us], Total Bytes: 38057893, Bytes: 1392038[B/s], Throughput; 1000000.000000_x001B_[0m</t>
  </si>
  <si>
    <t>_x001B_[0;32mI (32062) Access Point: Runtime: 31692389 [us], Total Bytes: 39548858, Bytes: 1490965[B/s], Throughput; 1000000.000000_x001B_[0m</t>
  </si>
  <si>
    <t>_x001B_[0;32mI (33062) Access Point: Runtime: 32692390 [us], Total Bytes: 40906921, Bytes: 1358063[B/s], Throughput; 1000000.000000_x001B_[0m</t>
  </si>
  <si>
    <t>_x001B_[0;32mI (34062) Access Point: Runtime: 33692390 [us], Total Bytes: 42247362, Bytes: 1340441[B/s], Throughput; 1000000.000000_x001B_[0m</t>
  </si>
  <si>
    <t>_x001B_[0;32mI (35062) Access Point: Runtime: 34692390 [us], Total Bytes: 43645654, Bytes: 1398292[B/s], Throughput; 1000000.000000_x001B_[0m</t>
  </si>
  <si>
    <t>_x001B_[0;32mI (36062) Access Point: Runtime: 35692409 [us], Total Bytes: 44681601, Bytes: 1035947[B/s], Throughput; 1000000.000000_x001B_[0m</t>
  </si>
  <si>
    <t>_x001B_[0;32mI (37062) Access Point: Runtime: 36692390 [us], Total Bytes: 45815696, Bytes: 1134095[B/s], Throughput; 1000000.000000_x001B_[0m</t>
  </si>
  <si>
    <t>_x001B_[0;32mI (38062) Access Point: Runtime: 37692390 [us], Total Bytes: 46787090, Bytes: 971394[B/s], Throughput; 0.000000_x001B_[0m</t>
  </si>
  <si>
    <t>_x001B_[0;32mI (39062) Access Point: Runtime: 38692389 [us], Total Bytes: 47868190, Bytes: 1081100[B/s], Throughput; 1000000.000000_x001B_[0m</t>
  </si>
  <si>
    <t>_x001B_[0;32mI (40062) Access Point: Runtime: 39692389 [us], Total Bytes: 49162133, Bytes: 1293943[B/s], Throughput; 1000000.000000_x001B_[0m</t>
  </si>
  <si>
    <t>_x001B_[0;32mI (41062) Access Point: Runtime: 40692389 [us], Total Bytes: 50509075, Bytes: 1346942[B/s], Throughput; 1000000.000000_x001B_[0m</t>
  </si>
  <si>
    <t>_x001B_[0;32mI (42062) Access Point: Runtime: 41692389 [us], Total Bytes: 51984010, Bytes: 1474935[B/s], Throughput; 1000000.000000_x001B_[0m</t>
  </si>
  <si>
    <t>_x001B_[0;32mI (43062) Access Point: Runtime: 42692390 [us], Total Bytes: 53358350, Bytes: 1374340[B/s], Throughput; 1000000.000000_x001B_[0m</t>
  </si>
  <si>
    <t>_x001B_[0;32mI (44062) Access Point: Runtime: 43692390 [us], Total Bytes: 54702260, Bytes: 1343910[B/s], Throughput; 1000000.000000_x001B_[0m</t>
  </si>
  <si>
    <t>_x001B_[0;32mI (45062) Access Point: Runtime: 44692389 [us], Total Bytes: 55960883, Bytes: 1258623[B/s], Throughput; 1000000.000000_x001B_[0m</t>
  </si>
  <si>
    <t>_x001B_[0;32mI (46062) Access Point: Runtime: 45692389 [us], Total Bytes: 57347138, Bytes: 1386255[B/s], Throughput; 1000000.000000_x001B_[0m</t>
  </si>
  <si>
    <t>_x001B_[0;32mI (47062) Access Point: Runtime: 46692389 [us], Total Bytes: 58595856, Bytes: 1248718[B/s], Throughput; 1000000.000000_x001B_[0m</t>
  </si>
  <si>
    <t>_x001B_[0;32mI (48062) Access Point: Runtime: 47692389 [us], Total Bytes: 59855144, Bytes: 1259288[B/s], Throughput; 1000000.000000_x001B_[0m</t>
  </si>
  <si>
    <t>_x001B_[0;32mI (49062) Access Point: Runtime: 48692398 [us], Total Bytes: 61141887, Bytes: 1286743[B/s], Throughput; 1000000.000000_x001B_[0m</t>
  </si>
  <si>
    <t>_x001B_[0;32mI (50062) Access Point: Runtime: 49692421 [us], Total Bytes: 62356041, Bytes: 1214154[B/s], Throughput; 1000000.000000_x001B_[0m</t>
  </si>
  <si>
    <t>_x001B_[0;32mI (51062) Access Point: Runtime: 50692390 [us], Total Bytes: 63696805, Bytes: 1340764[B/s], Throughput; 1000000.000000_x001B_[0m</t>
  </si>
  <si>
    <t>_x001B_[0;32mI (52062) Access Point: Runtime: 51692502 [us], Total Bytes: 65116640, Bytes: 1419835[B/s], Throughput; 1000000.000000_x001B_[0m</t>
  </si>
  <si>
    <t>_x001B_[0;32mI (53062) Access Point: Runtime: 52692409 [us], Total Bytes: 66536433, Bytes: 1419793[B/s], Throughput; 1000000.000000_x001B_[0m</t>
  </si>
  <si>
    <t>_x001B_[0;32mI (54062) Access Point: Runtime: 53692399 [us], Total Bytes: 68075283, Bytes: 1538850[B/s], Throughput; 1000000.000000_x001B_[0m</t>
  </si>
  <si>
    <t>_x001B_[0;32mI (55062) Access Point: Runtime: 54692390 [us], Total Bytes: 69459950, Bytes: 1384667[B/s], Throughput; 1000000.000000_x001B_[0m</t>
  </si>
  <si>
    <t>_x001B_[0;32mI (56062) Access Point: Runtime: 55692399 [us], Total Bytes: 70873797, Bytes: 1413847[B/s], Throughput; 1000000.000000_x001B_[0m</t>
  </si>
  <si>
    <t>_x001B_[0;32mI (57062) Access Point: Runtime: 56692389 [us], Total Bytes: 72359469, Bytes: 1485672[B/s], Throughput; 1000000.000000_x001B_[0m</t>
  </si>
  <si>
    <t>_x001B_[0;32mI (58062) Access Point: Runtime: 57692420 [us], Total Bytes: 73752115, Bytes: 1392646[B/s], Throughput; 1000000.000000_x001B_[0m</t>
  </si>
  <si>
    <t>_x001B_[0;32mI (59062) Access Point: Runtime: 58692390 [us], Total Bytes: 75176179, Bytes: 1424064[B/s], Throughput; 1000000.000000_x001B_[0m</t>
  </si>
  <si>
    <t>_x001B_[0;32mI (60062) Access Point: Runtime: 59692389 [us], Total Bytes: 76604616, Bytes: 1428437[B/s], Throughput; 1000000.000000_x001B_[0m</t>
  </si>
  <si>
    <t>_x001B_[0;32mI (61062) Access Point: Runtime: 60692452 [us], Total Bytes: 78094274, Bytes: 1489658[B/s], Throughput; 1000000.000000_x001B_[0m</t>
  </si>
  <si>
    <t>_x001B_[0;32mI (62062) Access Point: Runtime: 61692389 [us], Total Bytes: 79611748, Bytes: 1517474[B/s], Throughput; 1000000.000000_x001B_[0m</t>
  </si>
  <si>
    <t>_x001B_[0;32mI (63062) Access Point: Runtime: 62692422 [us], Total Bytes: 81041625, Bytes: 1429877[B/s], Throughput; 1000000.000000_x001B_[0m</t>
  </si>
  <si>
    <t>_x001B_[0;32mI (64062) Access Point: Runtime: 63692390 [us], Total Bytes: 82523889, Bytes: 1482264[B/s], Throughput; 1000000.000000_x001B_[0m</t>
  </si>
  <si>
    <t>_x001B_[0;32mI (65062) Access Point: Runtime: 64692390 [us], Total Bytes: 83950833, Bytes: 1426944[B/s], Throughput; 1000000.000000_x001B_[0m</t>
  </si>
  <si>
    <t>1459 v2</t>
  </si>
  <si>
    <t>_x001B_[0;32mI (165172) Access Point: Runtime: 164808495 [us], Total Bytes: 34951606, Bytes: 1583072[B/s], Throughput; 1000000.000000_x001B_[0m</t>
  </si>
  <si>
    <t>_x001B_[0;32mI (166172) Access Point: Runtime: 165808494 [us], Total Bytes: 36609254, Bytes: 1657648[B/s], Throughput; 1000000.000000_x001B_[0m</t>
  </si>
  <si>
    <t>_x001B_[0;32mI (167172) Access Point: Runtime: 166808495 [us], Total Bytes: 38312480, Bytes: 1703226[B/s], Throughput; 1000000.000000_x001B_[0m</t>
  </si>
  <si>
    <t>_x001B_[0;32mI (168172) Access Point: Runtime: 167808495 [us], Total Bytes: 39940117, Bytes: 1627637[B/s], Throughput; 1000000.000000_x001B_[0m</t>
  </si>
  <si>
    <t>_x001B_[0;32mI (169172) Access Point: Runtime: 168808495 [us], Total Bytes: 41531791, Bytes: 1591674[B/s], Throughput; 1000000.000000_x001B_[0m</t>
  </si>
  <si>
    <t>_x001B_[0;32mI (170172) Access Point: Runtime: 169808494 [us], Total Bytes: 43093623, Bytes: 1561832[B/s], Throughput; 1000000.000000_x001B_[0m</t>
  </si>
  <si>
    <t>_x001B_[0;32mI (171172) Access Point: Runtime: 170808494 [us], Total Bytes: 44715424, Bytes: 1621801[B/s], Throughput; 1000000.000000_x001B_[0m</t>
  </si>
  <si>
    <t>_x001B_[0;32mI (172172) Access Point: Runtime: 171808494 [us], Total Bytes: 46267021, Bytes: 1551597[B/s], Throughput; 1000000.000000_x001B_[0m</t>
  </si>
  <si>
    <t>_x001B_[0;32mI (173172) Access Point: Runtime: 172808573 [us], Total Bytes: 47973371, Bytes: 1706350[B/s], Throughput; 1000000.000000_x001B_[0m</t>
  </si>
  <si>
    <t>_x001B_[0;32mI (174172) Access Point: Runtime: 173808555 [us], Total Bytes: 49677502, Bytes: 1704131[B/s], Throughput; 1000000.000000_x001B_[0m</t>
  </si>
  <si>
    <t>_x001B_[0;32mI (175172) Access Point: Runtime: 174808494 [us], Total Bytes: 51388772, Bytes: 1711270[B/s], Throughput; 1000000.000000_x001B_[0m</t>
  </si>
  <si>
    <t>_x001B_[0;32mI (176172) Access Point: Runtime: 175808500 [us], Total Bytes: 53069677, Bytes: 1680905[B/s], Throughput; 1000000.000000_x001B_[0m</t>
  </si>
  <si>
    <t>_x001B_[0;32mI (177172) Access Point: Runtime: 176808494 [us], Total Bytes: 54693107, Bytes: 1623430[B/s], Throughput; 1000000.000000_x001B_[0m</t>
  </si>
  <si>
    <t>_x001B_[0;32mI (178172) Access Point: Runtime: 177808497 [us], Total Bytes: 56327453, Bytes: 1634346[B/s], Throughput; 1000000.000000_x001B_[0m</t>
  </si>
  <si>
    <t>_x001B_[0;32mI (179172) Access Point: Runtime: 178808495 [us], Total Bytes: 57974227, Bytes: 1646774[B/s], Throughput; 1000000.000000_x001B_[0m</t>
  </si>
  <si>
    <t>_x001B_[0;32mI (180172) Access Point: Runtime: 179808494 [us], Total Bytes: 59516827, Bytes: 1542600[B/s], Throughput; 1000000.000000_x001B_[0m</t>
  </si>
  <si>
    <t>_x001B_[0;32mI (181172) Access Point: Runtime: 180808548 [us], Total Bytes: 61123224, Bytes: 1606397[B/s], Throughput; 1000000.000000_x001B_[0m</t>
  </si>
  <si>
    <t>_x001B_[0;32mI (182172) Access Point: Runtime: 181808554 [us], Total Bytes: 62781917, Bytes: 1658693[B/s], Throughput; 1000000.000000_x001B_[0m</t>
  </si>
  <si>
    <t>_x001B_[0;32mI (183172) Access Point: Runtime: 182808498 [us], Total Bytes: 64394435, Bytes: 1612518[B/s], Throughput; 1000000.000000_x001B_[0m</t>
  </si>
  <si>
    <t>_x001B_[0;32mI (184172) Access Point: Runtime: 183808494 [us], Total Bytes: 66105234, Bytes: 1710799[B/s], Throughput; 1000000.000000_x001B_[0m</t>
  </si>
  <si>
    <t>_x001B_[0;32mI (185172) Access Point: Runtime: 184808495 [us], Total Bytes: 67822800, Bytes: 1717566[B/s], Throughput; 1000000.000000_x001B_[0m</t>
  </si>
  <si>
    <t>_x001B_[0;32mI (186172) Access Point: Runtime: 185808494 [us], Total Bytes: 69538696, Bytes: 1715896[B/s], Throughput; 1000000.000000_x001B_[0m</t>
  </si>
  <si>
    <t>_x001B_[0;32mI (187172) Access Point: Runtime: 186808498 [us], Total Bytes: 71061590, Bytes: 1522894[B/s], Throughput; 1000000.000000_x001B_[0m</t>
  </si>
  <si>
    <t>_x001B_[0;32mI (188172) Access Point: Runtime: 187808495 [us], Total Bytes: 72656752, Bytes: 1595162[B/s], Throughput; 1000000.000000_x001B_[0m</t>
  </si>
  <si>
    <t>_x001B_[0;32mI (189172) Access Point: Runtime: 188808596 [us], Total Bytes: 74219132, Bytes: 1562380[B/s], Throughput; 1000000.000000_x001B_[0m</t>
  </si>
  <si>
    <t>_x001B_[0;32mI (190172) Access Point: Runtime: 189808494 [us], Total Bytes: 75819370, Bytes: 1600238[B/s], Throughput; 1000000.000000_x001B_[0m</t>
  </si>
  <si>
    <t>_x001B_[0;32mI (191172) Access Point: Runtime: 190808560 [us], Total Bytes: 77384554, Bytes: 1565184[B/s], Throughput; 1000000.000000_x001B_[0m</t>
  </si>
  <si>
    <t>_x001B_[0;32mI (192172) Access Point: Runtime: 191808543 [us], Total Bytes: 78951862, Bytes: 1567308[B/s], Throughput; 1000000.000000_x001B_[0m</t>
  </si>
  <si>
    <t>_x001B_[0;32mI (193172) Access Point: Runtime: 192808508 [us], Total Bytes: 80483602, Bytes: 1531740[B/s], Throughput; 1000000.000000_x001B_[0m</t>
  </si>
  <si>
    <t>_x001B_[0;32mI (194172) Access Point: Runtime: 193808538 [us], Total Bytes: 81968428, Bytes: 1484826[B/s], Throughput; 1000000.000000_x001B_[0m</t>
  </si>
  <si>
    <t>_x001B_[0;32mI (195172) Access Point: Runtime: 194808533 [us], Total Bytes: 83470783, Bytes: 1502355[B/s], Throughput; 1000000.000000_x001B_[0m</t>
  </si>
  <si>
    <t>_x001B_[0;32mI (196172) Access Point: Runtime: 195808495 [us], Total Bytes: 85009136, Bytes: 1538353[B/s], Throughput; 1000000.000000_x001B_[0m</t>
  </si>
  <si>
    <t>_x001B_[0;32mI (197172) Access Point: Runtime: 196808494 [us], Total Bytes: 86589385, Bytes: 1580249[B/s], Throughput; 1000000.000000_x001B_[0m</t>
  </si>
  <si>
    <t>_x001B_[0;32mI (198172) Access Point: Runtime: 197808494 [us], Total Bytes: 88225646, Bytes: 1636261[B/s], Throughput; 1000000.000000_x001B_[0m</t>
  </si>
  <si>
    <t>_x001B_[0;32mI (199172) Access Point: Runtime: 198808494 [us], Total Bytes: 89858415, Bytes: 1632769[B/s], Throughput; 1000000.000000_x001B_[0m</t>
  </si>
  <si>
    <t>_x001B_[0;32mI (200172) Access Point: Runtime: 199808494 [us], Total Bytes: 91430689, Bytes: 1572274[B/s], Throughput; 1000000.000000_x001B_[0m</t>
  </si>
  <si>
    <t>_x001B_[0;32mI (201172) Access Point: Runtime: 200808495 [us], Total Bytes: 92989091, Bytes: 1558402[B/s], Throughput; 1000000.000000_x001B_[0m</t>
  </si>
  <si>
    <t>_x001B_[0;32mI (202172) Access Point: Runtime: 201808496 [us], Total Bytes: 94610230, Bytes: 1621139[B/s], Throughput; 1000000.000000_x001B_[0m</t>
  </si>
  <si>
    <t>_x001B_[0;32mI (203172) Access Point: Runtime: 202808586 [us], Total Bytes: 96217706, Bytes: 1607476[B/s], Throughput; 1000000.000000_x001B_[0m</t>
  </si>
  <si>
    <t>_x001B_[0;32mI (204172) Access Point: Runtime: 203808495 [us], Total Bytes: 97747175, Bytes: 1529469[B/s], Throughput; 1000000.000000_x001B_[0m</t>
  </si>
  <si>
    <t>_x001B_[0;32mI (205172) Access Point: Runtime: 204808521 [us], Total Bytes: 99344115, Bytes: 1596940[B/s], Throughput; 1000000.000000_x001B_[0m</t>
  </si>
  <si>
    <t>_x001B_[0;32mI (206172) Access Point: Runtime: 205808495 [us], Total Bytes: 100974483, Bytes: 1630368[B/s], Throughput; 1000000.000000_x001B_[0m</t>
  </si>
  <si>
    <t>_x001B_[0;32mI (207172) Access Point: Runtime: 206808498 [us], Total Bytes: 102475129, Bytes: 1500646[B/s], Throughput; 1000000.000000_x001B_[0m</t>
  </si>
  <si>
    <t>_x001B_[0;32mI (208172) Access Point: Runtime: 207808495 [us], Total Bytes: 104075443, Bytes: 1600314[B/s], Throughput; 1000000.000000_x001B_[0m</t>
  </si>
  <si>
    <t>_x001B_[0;32mI (209172) Access Point: Runtime: 208808532 [us], Total Bytes: 105700089, Bytes: 1624646[B/s], Throughput; 1000000.000000_x001B_[0m</t>
  </si>
  <si>
    <t>_x001B_[0;32mI (210172) Access Point: Runtime: 209808495 [us], Total Bytes: 107288617, Bytes: 1588528[B/s], Throughput; 1000000.000000_x001B_[0m</t>
  </si>
  <si>
    <t>_x001B_[0;32mI (211172) Access Point: Runtime: 210808495 [us], Total Bytes: 108793150, Bytes: 1504533[B/s], Throughput; 1000000.000000_x001B_[0m</t>
  </si>
  <si>
    <t>_x001B_[0;32mI (212172) Access Point: Runtime: 211808494 [us], Total Bytes: 110426869, Bytes: 1633719[B/s], Throughput; 1000000.000000_x001B_[0m</t>
  </si>
  <si>
    <t>_x001B_[0;32mI (213172) Access Point: Runtime: 212808543 [us], Total Bytes: 111998949, Bytes: 1572080[B/s], Throughput; 1000000.000000_x001B_[0m</t>
  </si>
  <si>
    <t>_x001B_[0;32mI (214172) Access Point: Runtime: 213808554 [us], Total Bytes: 113634093, Bytes: 1635144[B/s], Throughput; 1000000.000000_x001B_[0m</t>
  </si>
  <si>
    <t>_x001B_[0;32mI (215172) Access Point: Runtime: 214808631 [us], Total Bytes: 115316073, Bytes: 1681980[B/s], Throughput; 1000000.000000_x001B_[0m</t>
  </si>
  <si>
    <t>_x001B_[0;32mI (216172) Access Point: Runtime: 215808494 [us], Total Bytes: 116932759, Bytes: 1616686[B/s], Throughput; 1000000.000000_x001B_[0m</t>
  </si>
  <si>
    <t>_x001B_[0;32mI (217172) Access Point: Runtime: 216808585 [us], Total Bytes: 118587189, Bytes: 1654430[B/s], Throughput; 1000000.000000_x001B_[0m</t>
  </si>
  <si>
    <t>_x001B_[0;32mI (218172) Access Point: Runtime: 217808495 [us], Total Bytes: 120170451, Bytes: 1583262[B/s], Throughput; 1000000.000000_x001B_[0m</t>
  </si>
  <si>
    <t>_x001B_[0;32mI (219172) Access Point: Runtime: 218808494 [us], Total Bytes: 121803034, Bytes: 1632583[B/s], Throughput; 1000000.000000_x001B_[0m</t>
  </si>
  <si>
    <t>_x001B_[0;32mI (220172) Access Point: Runtime: 219808494 [us], Total Bytes: 123368598, Bytes: 1565564[B/s], Throughput; 1000000.000000_x001B_[0m</t>
  </si>
  <si>
    <t>_x001B_[0;32mI (221172) Access Point: Runtime: 220808494 [us], Total Bytes: 125055597, Bytes: 1686999[B/s], Throughput; 1000000.000000_x001B_[0m</t>
  </si>
  <si>
    <t>_x001B_[0;32mI (222172) Access Point: Runtime: 221808590 [us], Total Bytes: 126632020, Bytes: 1576423[B/s], Throughput; 1000000.000000_x001B_[0m</t>
  </si>
  <si>
    <t>_x001B_[0;32mI (223172) Access Point: Runtime: 222808496 [us], Total Bytes: 128225172, Bytes: 1593152[B/s], Throughput; 1000000.000000_x001B_[0m</t>
  </si>
  <si>
    <t>_x001B_[0;32mI (224172) Access Point: Runtime: 223808495 [us], Total Bytes: 129813627, Bytes: 1588455[B/s], Throughput; 1000000.000000_x001B_[0m</t>
  </si>
  <si>
    <t>_x001B_[0;32mI (225172) Access Point: Runtime: 224808517 [us], Total Bytes: 131484825, Bytes: 1671198[B/s], Throughput; 1000000.000000_x001B_[0m</t>
  </si>
  <si>
    <t>_x001B_[0;32mI (226172) Access Point: Runtime: 225808495 [us], Total Bytes: 133057247, Bytes: 1572422[B/s], Throughput; 1000000.000000_x001B_[0m</t>
  </si>
  <si>
    <t>_x001B_[0;32mI (227172) Access Point: Runtime: 226808495 [us], Total Bytes: 134709819, Bytes: 1652572[B/s], Throughput; 1000000.000000_x001B_[0m</t>
  </si>
  <si>
    <t>_x001B_[0;32mI (228172) Access Point: Runtime: 227808516 [us], Total Bytes: 136432484, Bytes: 1722665[B/s], Throughput; 1000000.000000_x001B_[0m</t>
  </si>
  <si>
    <t>_x001B_[0;32mI (229172) Access Point: Runtime: 228808495 [us], Total Bytes: 138127329, Bytes: 1694845[B/s], Throughput; 1000000.000000_x001B_[0m</t>
  </si>
  <si>
    <t>_x001B_[0;32mI (230172) Access Point: Runtime: 229808518 [us], Total Bytes: 139907879, Bytes: 1780550[B/s], Throughput; 1000000.000000_x001B_[0m</t>
  </si>
  <si>
    <t>_x001B_[0;32mI (231172) Access Point: Runtime: 230808515 [us], Total Bytes: 141533224, Bytes: 1625345[B/s], Throughput; 1000000.000000_x001B_[0m</t>
  </si>
  <si>
    <t>_x001B_[0;32mI (232172) Access Point: Runtime: 231808494 [us], Total Bytes: 143229908, Bytes: 1696684[B/s], Throughput; 1000000.000000_x001B_[0m</t>
  </si>
  <si>
    <t>_x001B_[0;32mI (233172) Access Point: Runtime: 232808495 [us], Total Bytes: 144868384, Bytes: 1638476[B/s], Throughput; 1000000.000000_x001B_[0m</t>
  </si>
  <si>
    <t>_x001B_[0;32mI (234172) Access Point: Runtime: 233808495 [us], Total Bytes: 146531380, Bytes: 1662996[B/s], Throughput; 1000000.000000_x001B_[0m</t>
  </si>
  <si>
    <t>_x001B_[0;32mI (235172) Access Point: Runtime: 234808495 [us], Total Bytes: 148198711, Bytes: 1667331[B/s], Throughput; 1000000.000000_x001B_[0m</t>
  </si>
  <si>
    <t>_x001B_[0;32mI (236172) Access Point: Runtime: 235808494 [us], Total Bytes: 149846283, Bytes: 1647572[B/s], Throughput; 1000000.000000_x001B_[0m</t>
  </si>
  <si>
    <t>_x001B_[0;32mI (237172) Access Point: Runtime: 236808494 [us], Total Bytes: 151468634, Bytes: 1622351[B/s], Throughput; 1000000.000000_x001B_[0m</t>
  </si>
  <si>
    <t>_x001B_[0;32mI (238172) Access Point: Runtime: 237808494 [us], Total Bytes: 153179623, Bytes: 1710989[B/s], Throughput; 1000000.000000_x001B_[0m</t>
  </si>
  <si>
    <t>_x001B_[0;32mI (239172) Access Point: Runtime: 238808495 [us], Total Bytes: 154840630, Bytes: 1661007[B/s], Throughput; 1000000.000000_x001B_[0m</t>
  </si>
  <si>
    <t>_x001B_[0;32mI (240172) Access Point: Runtime: 239808494 [us], Total Bytes: 156519483, Bytes: 1678853[B/s], Throughput; 1000000.000000_x001B_[0m</t>
  </si>
  <si>
    <t>_x001B_[0;32mI (241172) Access Point: Runtime: 240808496 [us], Total Bytes: 158210065, Bytes: 1690582[B/s], Throughput; 1000000.000000_x001B_[0m</t>
  </si>
  <si>
    <t>_x001B_[0;32mI (242172) Access Point: Runtime: 241808494 [us], Total Bytes: 159918045, Bytes: 1707980[B/s], Throughput; 1000000.000000_x001B_[0m</t>
  </si>
  <si>
    <t>_x001B_[0;32mI (243172) Access Point: Runtime: 242808494 [us], Total Bytes: 161668465, Bytes: 1750420[B/s], Throughput; 1000000.000000_x001B_[0m</t>
  </si>
  <si>
    <t>_x001B_[0;32mI (244172) Access Point: Runtime: 243808494 [us], Total Bytes: 163357683, Bytes: 1689218[B/s], Throughput; 1000000.000000_x001B_[0m</t>
  </si>
  <si>
    <t>_x001B_[0;32mI (245172) Access Point: Runtime: 244808495 [us], Total Bytes: 165021456, Bytes: 1663773[B/s], Throughput; 1000000.000000_x001B_[0m</t>
  </si>
  <si>
    <t>peak</t>
  </si>
  <si>
    <t>throughput [Byte/s]</t>
  </si>
  <si>
    <t>payload [Byte]</t>
  </si>
  <si>
    <t>Throughput [Mbyte/s]</t>
  </si>
  <si>
    <t>Throughput [Mbit/s]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</si>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</sst>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Throughput [MBit/s]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(2)'!$B$1:$L$1</c:f>
              <c:strCach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1459</c:v>
                </c:pt>
                <c:pt idx="5">
                  <c:v>1459 v2</c:v>
                </c:pt>
                <c:pt idx="6">
                  <c:v>1460</c:v>
                </c:pt>
                <c:pt idx="7">
                  <c:v>1461</c:v>
                </c:pt>
                <c:pt idx="8">
                  <c:v>1970</c:v>
                </c:pt>
                <c:pt idx="9">
                  <c:v>2047</c:v>
                </c:pt>
              </c:strCache>
            </c:strRef>
          </c:cat>
          <c:val>
            <c:numRef>
              <c:f>'Summary (2)'!$B$2:$L$2</c:f>
              <c:numCache>
                <c:formatCode>General</c:formatCode>
                <c:ptCount val="11"/>
                <c:pt idx="0">
                  <c:v>6.9310910638297871</c:v>
                </c:pt>
                <c:pt idx="1">
                  <c:v>8.2574860487804873</c:v>
                </c:pt>
                <c:pt idx="2">
                  <c:v>9.3466996363636365</c:v>
                </c:pt>
                <c:pt idx="3">
                  <c:v>10.125994666666665</c:v>
                </c:pt>
                <c:pt idx="4">
                  <c:v>9.593362560000001</c:v>
                </c:pt>
                <c:pt idx="5">
                  <c:v>10.832365548387097</c:v>
                </c:pt>
                <c:pt idx="6">
                  <c:v>8.2894545454545465</c:v>
                </c:pt>
                <c:pt idx="7">
                  <c:v>7.1417744000000001</c:v>
                </c:pt>
                <c:pt idx="8">
                  <c:v>8.1823599999999992</c:v>
                </c:pt>
                <c:pt idx="9">
                  <c:v>11.123971348837211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6-485E-893C-4AC9B376F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809104"/>
        <c:axId val="1499811504"/>
      </c:barChart>
      <c:catAx>
        <c:axId val="14998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9811504"/>
        <c:crosses val="autoZero"/>
        <c:auto val="1"/>
        <c:lblAlgn val="ctr"/>
        <c:lblOffset val="100"/>
        <c:noMultiLvlLbl val="0"/>
      </c:catAx>
      <c:valAx>
        <c:axId val="14998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98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payload</a:t>
            </a:r>
            <a:r>
              <a:rPr lang="de-CH" baseline="0"/>
              <a:t> size vs throughput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Summary!$B$1:$L$1</c:f>
              <c:strCach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1459</c:v>
                </c:pt>
                <c:pt idx="5">
                  <c:v>1459 v2</c:v>
                </c:pt>
                <c:pt idx="6">
                  <c:v>1460</c:v>
                </c:pt>
                <c:pt idx="7">
                  <c:v>1461</c:v>
                </c:pt>
                <c:pt idx="8">
                  <c:v>1970</c:v>
                </c:pt>
                <c:pt idx="9">
                  <c:v>2047</c:v>
                </c:pt>
              </c:strCache>
            </c:strRef>
          </c:cat>
          <c:val>
            <c:numRef>
              <c:f>Summary!$B$2:$L$2</c:f>
              <c:numCache>
                <c:formatCode>General</c:formatCode>
                <c:ptCount val="11"/>
                <c:pt idx="0">
                  <c:v>866386.38297872338</c:v>
                </c:pt>
                <c:pt idx="1">
                  <c:v>1032185.756097561</c:v>
                </c:pt>
                <c:pt idx="2">
                  <c:v>1168337.4545454546</c:v>
                </c:pt>
                <c:pt idx="3">
                  <c:v>1265749.3333333333</c:v>
                </c:pt>
                <c:pt idx="4">
                  <c:v>1199170.32</c:v>
                </c:pt>
                <c:pt idx="5">
                  <c:v>1354045.6935483871</c:v>
                </c:pt>
                <c:pt idx="6">
                  <c:v>1036181.8181818182</c:v>
                </c:pt>
                <c:pt idx="7">
                  <c:v>892721.8</c:v>
                </c:pt>
                <c:pt idx="8">
                  <c:v>1022795</c:v>
                </c:pt>
                <c:pt idx="9">
                  <c:v>1390496.4186046512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4-435D-92B9-46C8E7D27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809104"/>
        <c:axId val="1499811504"/>
      </c:barChart>
      <c:catAx>
        <c:axId val="14998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9811504"/>
        <c:crosses val="autoZero"/>
        <c:auto val="1"/>
        <c:lblAlgn val="ctr"/>
        <c:lblOffset val="100"/>
        <c:noMultiLvlLbl val="0"/>
      </c:catAx>
      <c:valAx>
        <c:axId val="14998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98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91863</xdr:colOff>
      <xdr:row>2</xdr:row>
      <xdr:rowOff>137266</xdr:rowOff>
    </xdr:from>
    <xdr:to>
      <xdr:col>15</xdr:col>
      <xdr:colOff>23283</xdr:colOff>
      <xdr:row>28</xdr:row>
      <xdr:rowOff>113453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0BF357E-CE88-4515-835D-E93DF2ADF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134196</xdr:colOff>
      <xdr:row>5</xdr:row>
      <xdr:rowOff>111866</xdr:rowOff>
    </xdr:from>
    <xdr:to>
      <xdr:col>15</xdr:col>
      <xdr:colOff>65616</xdr:colOff>
      <xdr:row>31</xdr:row>
      <xdr:rowOff>88053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B38FFEF-2D2F-ADE5-ED8A-D3DEB1A75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ADB7-2230-4FBA-B4EF-77B7CE4B471A}">
  <dimension ref="A1:Q17"/>
  <sheetViews>
    <sheetView tabSelected="1" zoomScale="90" zoomScaleNormal="90" workbookViewId="0">
      <selection activeCell="Q17" sqref="Q17"/>
    </sheetView>
  </sheetViews>
  <sheetFormatPr baseColWidth="10" defaultRowHeight="14.4" x14ac:dyDescent="0.3"/>
  <cols>
    <col min="1" max="1" width="35.109375" customWidth="1"/>
  </cols>
  <sheetData>
    <row r="1" spans="1:17" x14ac:dyDescent="0.3">
      <c r="A1" t="s">
        <v>475</v>
      </c>
      <c r="B1">
        <v>128</v>
      </c>
      <c r="C1">
        <v>256</v>
      </c>
      <c r="D1">
        <v>512</v>
      </c>
      <c r="E1">
        <v>1024</v>
      </c>
      <c r="F1">
        <v>1459</v>
      </c>
      <c r="G1" t="s">
        <v>391</v>
      </c>
      <c r="H1">
        <v>1460</v>
      </c>
      <c r="I1">
        <v>1461</v>
      </c>
      <c r="J1">
        <v>1970</v>
      </c>
      <c r="K1">
        <v>2047</v>
      </c>
      <c r="Q1" t="s">
        <v>473</v>
      </c>
    </row>
    <row r="2" spans="1:17" x14ac:dyDescent="0.3">
      <c r="A2" t="s">
        <v>477</v>
      </c>
      <c r="B2">
        <v>6.9310910638297871</v>
      </c>
      <c r="C2">
        <v>8.2574860487804873</v>
      </c>
      <c r="D2">
        <v>9.3466996363636365</v>
      </c>
      <c r="E2">
        <v>10.125994666666665</v>
      </c>
      <c r="F2">
        <v>9.593362560000001</v>
      </c>
      <c r="G2">
        <v>10.832365548387097</v>
      </c>
      <c r="H2">
        <v>8.2894545454545465</v>
      </c>
      <c r="I2">
        <v>7.1417744000000001</v>
      </c>
      <c r="J2">
        <v>8.1823599999999992</v>
      </c>
      <c r="K2">
        <v>11.123971348837211</v>
      </c>
      <c r="Q2">
        <v>1625344.7160493827</v>
      </c>
    </row>
    <row r="4" spans="1:17" x14ac:dyDescent="0.3">
      <c r="Q4">
        <f>SUM(Q2 / 1000000)</f>
        <v>1.6253447160493828</v>
      </c>
    </row>
    <row r="5" spans="1:17" x14ac:dyDescent="0.3">
      <c r="Q5">
        <f>SUM(Q4 *8)</f>
        <v>13.002757728395062</v>
      </c>
    </row>
    <row r="17" spans="17:17" x14ac:dyDescent="0.3">
      <c r="Q17" t="s">
        <v>478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2A44-E72D-4837-8020-ABE2D062E3F2}">
  <dimension ref="A1:Q5"/>
  <sheetViews>
    <sheetView zoomScale="90" zoomScaleNormal="90" workbookViewId="0">
      <selection activeCell="A50" sqref="A50"/>
    </sheetView>
  </sheetViews>
  <sheetFormatPr baseColWidth="10" defaultRowHeight="14.4" x14ac:dyDescent="0.3"/>
  <cols>
    <col min="1" max="1" width="35.109375" customWidth="1"/>
  </cols>
  <sheetData>
    <row r="1" spans="1:17" x14ac:dyDescent="0.3">
      <c r="A1" t="s">
        <v>475</v>
      </c>
      <c r="B1">
        <v>128</v>
      </c>
      <c r="C1">
        <v>256</v>
      </c>
      <c r="D1">
        <v>512</v>
      </c>
      <c r="E1">
        <v>1024</v>
      </c>
      <c r="F1">
        <v>1459</v>
      </c>
      <c r="G1" t="s">
        <v>391</v>
      </c>
      <c r="H1">
        <v>1460</v>
      </c>
      <c r="I1">
        <v>1461</v>
      </c>
      <c r="J1">
        <v>1970</v>
      </c>
      <c r="K1">
        <v>2047</v>
      </c>
      <c r="Q1" t="s">
        <v>473</v>
      </c>
    </row>
    <row r="2" spans="1:17" x14ac:dyDescent="0.3">
      <c r="A2" t="s">
        <v>474</v>
      </c>
      <c r="B2">
        <v>866386.38297872338</v>
      </c>
      <c r="C2">
        <v>1032185.756097561</v>
      </c>
      <c r="D2">
        <v>1168337.4545454546</v>
      </c>
      <c r="E2">
        <v>1265749.3333333333</v>
      </c>
      <c r="F2">
        <v>1199170.32</v>
      </c>
      <c r="G2">
        <v>1354045.6935483871</v>
      </c>
      <c r="H2">
        <v>1036181.8181818182</v>
      </c>
      <c r="I2">
        <v>892721.8</v>
      </c>
      <c r="J2">
        <v>1022795</v>
      </c>
      <c r="K2">
        <v>1390496.4186046512</v>
      </c>
      <c r="Q2">
        <v>1625344.7160493827</v>
      </c>
    </row>
    <row r="4" spans="1:17" x14ac:dyDescent="0.3">
      <c r="A4" t="s">
        <v>476</v>
      </c>
      <c r="B4">
        <f>SUM(B2 / 1000000)</f>
        <v>0.86638638297872339</v>
      </c>
      <c r="C4">
        <f t="shared" ref="C4:L4" si="0">SUM(C2 / 1000000)</f>
        <v>1.0321857560975609</v>
      </c>
      <c r="D4">
        <f t="shared" si="0"/>
        <v>1.1683374545454546</v>
      </c>
      <c r="E4">
        <f t="shared" si="0"/>
        <v>1.2657493333333332</v>
      </c>
      <c r="F4">
        <f t="shared" si="0"/>
        <v>1.1991703200000001</v>
      </c>
      <c r="G4">
        <f t="shared" si="0"/>
        <v>1.3540456935483871</v>
      </c>
      <c r="H4">
        <f t="shared" si="0"/>
        <v>1.0361818181818183</v>
      </c>
      <c r="I4">
        <f t="shared" si="0"/>
        <v>0.89272180000000001</v>
      </c>
      <c r="J4">
        <f t="shared" si="0"/>
        <v>1.0227949999999999</v>
      </c>
      <c r="K4">
        <f t="shared" si="0"/>
        <v>1.3904964186046513</v>
      </c>
      <c r="Q4">
        <f>SUM(Q2 / 1000000)</f>
        <v>1.6253447160493828</v>
      </c>
    </row>
    <row r="5" spans="1:17" x14ac:dyDescent="0.3">
      <c r="A5" t="s">
        <v>477</v>
      </c>
      <c r="B5">
        <f>SUM(B4 *8)</f>
        <v>6.9310910638297871</v>
      </c>
      <c r="C5">
        <f t="shared" ref="C5:L5" si="1">SUM(C4 *8)</f>
        <v>8.2574860487804873</v>
      </c>
      <c r="D5">
        <f t="shared" si="1"/>
        <v>9.3466996363636365</v>
      </c>
      <c r="E5">
        <f t="shared" si="1"/>
        <v>10.125994666666665</v>
      </c>
      <c r="F5">
        <f t="shared" si="1"/>
        <v>9.593362560000001</v>
      </c>
      <c r="G5">
        <f t="shared" si="1"/>
        <v>10.832365548387097</v>
      </c>
      <c r="H5">
        <f t="shared" si="1"/>
        <v>8.2894545454545465</v>
      </c>
      <c r="I5">
        <f t="shared" si="1"/>
        <v>7.1417744000000001</v>
      </c>
      <c r="J5">
        <f t="shared" si="1"/>
        <v>8.1823599999999992</v>
      </c>
      <c r="K5">
        <f t="shared" si="1"/>
        <v>11.123971348837211</v>
      </c>
      <c r="Q5">
        <f>SUM(Q4 *8)</f>
        <v>13.002757728395062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AC59-9649-4176-92B7-D3F7EEACB7B0}">
  <dimension ref="A1:D83"/>
  <sheetViews>
    <sheetView topLeftCell="A70" workbookViewId="0">
      <selection activeCell="D83" sqref="D83"/>
    </sheetView>
  </sheetViews>
  <sheetFormatPr baseColWidth="10" defaultRowHeight="14.4" x14ac:dyDescent="0.3"/>
  <cols>
    <col min="1" max="1" width="120.77734375" customWidth="1"/>
  </cols>
  <sheetData>
    <row r="1" spans="1:4" x14ac:dyDescent="0.3">
      <c r="A1" t="s">
        <v>392</v>
      </c>
      <c r="B1" t="str">
        <f>MID(A1, FIND(", Bytes:", A1) + 8, FIND("[B/s]", A1) - FIND(", Bytes:", A1) - 8)</f>
        <v xml:space="preserve"> 1583072</v>
      </c>
      <c r="D1">
        <v>1583072</v>
      </c>
    </row>
    <row r="2" spans="1:4" x14ac:dyDescent="0.3">
      <c r="A2" t="s">
        <v>393</v>
      </c>
      <c r="B2" t="str">
        <f t="shared" ref="B2:B65" si="0">MID(A2, FIND(", Bytes:", A2) + 8, FIND("[B/s]", A2) - FIND(", Bytes:", A2) - 8)</f>
        <v xml:space="preserve"> 1657648</v>
      </c>
      <c r="D2">
        <v>1657648</v>
      </c>
    </row>
    <row r="3" spans="1:4" x14ac:dyDescent="0.3">
      <c r="A3" t="s">
        <v>394</v>
      </c>
      <c r="B3" t="str">
        <f t="shared" si="0"/>
        <v xml:space="preserve"> 1703226</v>
      </c>
      <c r="D3">
        <v>1703226</v>
      </c>
    </row>
    <row r="4" spans="1:4" x14ac:dyDescent="0.3">
      <c r="A4" t="s">
        <v>395</v>
      </c>
      <c r="B4" t="str">
        <f t="shared" si="0"/>
        <v xml:space="preserve"> 1627637</v>
      </c>
      <c r="D4">
        <v>1627637</v>
      </c>
    </row>
    <row r="5" spans="1:4" x14ac:dyDescent="0.3">
      <c r="A5" t="s">
        <v>396</v>
      </c>
      <c r="B5" t="str">
        <f t="shared" si="0"/>
        <v xml:space="preserve"> 1591674</v>
      </c>
      <c r="D5">
        <v>1591674</v>
      </c>
    </row>
    <row r="6" spans="1:4" x14ac:dyDescent="0.3">
      <c r="A6" t="s">
        <v>397</v>
      </c>
      <c r="B6" t="str">
        <f t="shared" si="0"/>
        <v xml:space="preserve"> 1561832</v>
      </c>
      <c r="D6">
        <v>1561832</v>
      </c>
    </row>
    <row r="7" spans="1:4" x14ac:dyDescent="0.3">
      <c r="A7" t="s">
        <v>398</v>
      </c>
      <c r="B7" t="str">
        <f t="shared" si="0"/>
        <v xml:space="preserve"> 1621801</v>
      </c>
      <c r="D7">
        <v>1621801</v>
      </c>
    </row>
    <row r="8" spans="1:4" x14ac:dyDescent="0.3">
      <c r="A8" t="s">
        <v>399</v>
      </c>
      <c r="B8" t="str">
        <f t="shared" si="0"/>
        <v xml:space="preserve"> 1551597</v>
      </c>
      <c r="D8">
        <v>1551597</v>
      </c>
    </row>
    <row r="9" spans="1:4" x14ac:dyDescent="0.3">
      <c r="A9" t="s">
        <v>400</v>
      </c>
      <c r="B9" t="str">
        <f t="shared" si="0"/>
        <v xml:space="preserve"> 1706350</v>
      </c>
      <c r="D9">
        <v>1706350</v>
      </c>
    </row>
    <row r="10" spans="1:4" x14ac:dyDescent="0.3">
      <c r="A10" t="s">
        <v>401</v>
      </c>
      <c r="B10" t="str">
        <f t="shared" si="0"/>
        <v xml:space="preserve"> 1704131</v>
      </c>
      <c r="D10">
        <v>1704131</v>
      </c>
    </row>
    <row r="11" spans="1:4" x14ac:dyDescent="0.3">
      <c r="A11" t="s">
        <v>402</v>
      </c>
      <c r="B11" t="str">
        <f t="shared" si="0"/>
        <v xml:space="preserve"> 1711270</v>
      </c>
      <c r="D11">
        <v>1711270</v>
      </c>
    </row>
    <row r="12" spans="1:4" x14ac:dyDescent="0.3">
      <c r="A12" t="s">
        <v>403</v>
      </c>
      <c r="B12" t="str">
        <f t="shared" si="0"/>
        <v xml:space="preserve"> 1680905</v>
      </c>
      <c r="D12">
        <v>1680905</v>
      </c>
    </row>
    <row r="13" spans="1:4" x14ac:dyDescent="0.3">
      <c r="A13" t="s">
        <v>404</v>
      </c>
      <c r="B13" t="str">
        <f t="shared" si="0"/>
        <v xml:space="preserve"> 1623430</v>
      </c>
      <c r="D13">
        <v>1623430</v>
      </c>
    </row>
    <row r="14" spans="1:4" x14ac:dyDescent="0.3">
      <c r="A14" t="s">
        <v>405</v>
      </c>
      <c r="B14" t="str">
        <f t="shared" si="0"/>
        <v xml:space="preserve"> 1634346</v>
      </c>
      <c r="D14">
        <v>1634346</v>
      </c>
    </row>
    <row r="15" spans="1:4" x14ac:dyDescent="0.3">
      <c r="A15" t="s">
        <v>406</v>
      </c>
      <c r="B15" t="str">
        <f t="shared" si="0"/>
        <v xml:space="preserve"> 1646774</v>
      </c>
      <c r="D15">
        <v>1646774</v>
      </c>
    </row>
    <row r="16" spans="1:4" x14ac:dyDescent="0.3">
      <c r="A16" t="s">
        <v>407</v>
      </c>
      <c r="B16" t="str">
        <f t="shared" si="0"/>
        <v xml:space="preserve"> 1542600</v>
      </c>
      <c r="D16">
        <v>1542600</v>
      </c>
    </row>
    <row r="17" spans="1:4" x14ac:dyDescent="0.3">
      <c r="A17" t="s">
        <v>408</v>
      </c>
      <c r="B17" t="str">
        <f t="shared" si="0"/>
        <v xml:space="preserve"> 1606397</v>
      </c>
      <c r="D17">
        <v>1606397</v>
      </c>
    </row>
    <row r="18" spans="1:4" x14ac:dyDescent="0.3">
      <c r="A18" t="s">
        <v>409</v>
      </c>
      <c r="B18" t="str">
        <f t="shared" si="0"/>
        <v xml:space="preserve"> 1658693</v>
      </c>
      <c r="D18">
        <v>1658693</v>
      </c>
    </row>
    <row r="19" spans="1:4" x14ac:dyDescent="0.3">
      <c r="A19" t="s">
        <v>410</v>
      </c>
      <c r="B19" t="str">
        <f t="shared" si="0"/>
        <v xml:space="preserve"> 1612518</v>
      </c>
      <c r="D19">
        <v>1612518</v>
      </c>
    </row>
    <row r="20" spans="1:4" x14ac:dyDescent="0.3">
      <c r="A20" t="s">
        <v>411</v>
      </c>
      <c r="B20" t="str">
        <f t="shared" si="0"/>
        <v xml:space="preserve"> 1710799</v>
      </c>
      <c r="D20">
        <v>1710799</v>
      </c>
    </row>
    <row r="21" spans="1:4" x14ac:dyDescent="0.3">
      <c r="A21" t="s">
        <v>412</v>
      </c>
      <c r="B21" t="str">
        <f t="shared" si="0"/>
        <v xml:space="preserve"> 1717566</v>
      </c>
      <c r="D21">
        <v>1717566</v>
      </c>
    </row>
    <row r="22" spans="1:4" x14ac:dyDescent="0.3">
      <c r="A22" t="s">
        <v>413</v>
      </c>
      <c r="B22" t="str">
        <f t="shared" si="0"/>
        <v xml:space="preserve"> 1715896</v>
      </c>
      <c r="D22">
        <v>1715896</v>
      </c>
    </row>
    <row r="23" spans="1:4" x14ac:dyDescent="0.3">
      <c r="A23" t="s">
        <v>414</v>
      </c>
      <c r="B23" t="str">
        <f t="shared" si="0"/>
        <v xml:space="preserve"> 1522894</v>
      </c>
      <c r="D23">
        <v>1522894</v>
      </c>
    </row>
    <row r="24" spans="1:4" x14ac:dyDescent="0.3">
      <c r="A24" t="s">
        <v>415</v>
      </c>
      <c r="B24" t="str">
        <f t="shared" si="0"/>
        <v xml:space="preserve"> 1595162</v>
      </c>
      <c r="D24">
        <v>1595162</v>
      </c>
    </row>
    <row r="25" spans="1:4" x14ac:dyDescent="0.3">
      <c r="A25" t="s">
        <v>416</v>
      </c>
      <c r="B25" t="str">
        <f t="shared" si="0"/>
        <v xml:space="preserve"> 1562380</v>
      </c>
      <c r="D25">
        <v>1562380</v>
      </c>
    </row>
    <row r="26" spans="1:4" x14ac:dyDescent="0.3">
      <c r="A26" t="s">
        <v>417</v>
      </c>
      <c r="B26" t="str">
        <f t="shared" si="0"/>
        <v xml:space="preserve"> 1600238</v>
      </c>
      <c r="D26">
        <v>1600238</v>
      </c>
    </row>
    <row r="27" spans="1:4" x14ac:dyDescent="0.3">
      <c r="A27" t="s">
        <v>418</v>
      </c>
      <c r="B27" t="str">
        <f t="shared" si="0"/>
        <v xml:space="preserve"> 1565184</v>
      </c>
      <c r="D27">
        <v>1565184</v>
      </c>
    </row>
    <row r="28" spans="1:4" x14ac:dyDescent="0.3">
      <c r="A28" t="s">
        <v>419</v>
      </c>
      <c r="B28" t="str">
        <f t="shared" si="0"/>
        <v xml:space="preserve"> 1567308</v>
      </c>
      <c r="D28">
        <v>1567308</v>
      </c>
    </row>
    <row r="29" spans="1:4" x14ac:dyDescent="0.3">
      <c r="A29" t="s">
        <v>420</v>
      </c>
      <c r="B29" t="str">
        <f t="shared" si="0"/>
        <v xml:space="preserve"> 1531740</v>
      </c>
      <c r="D29">
        <v>1531740</v>
      </c>
    </row>
    <row r="30" spans="1:4" x14ac:dyDescent="0.3">
      <c r="A30" t="s">
        <v>421</v>
      </c>
      <c r="B30" t="str">
        <f t="shared" si="0"/>
        <v xml:space="preserve"> 1484826</v>
      </c>
      <c r="D30">
        <v>1484826</v>
      </c>
    </row>
    <row r="31" spans="1:4" x14ac:dyDescent="0.3">
      <c r="A31" t="s">
        <v>422</v>
      </c>
      <c r="B31" t="str">
        <f t="shared" si="0"/>
        <v xml:space="preserve"> 1502355</v>
      </c>
      <c r="D31">
        <v>1502355</v>
      </c>
    </row>
    <row r="32" spans="1:4" x14ac:dyDescent="0.3">
      <c r="A32" t="s">
        <v>423</v>
      </c>
      <c r="B32" t="str">
        <f t="shared" si="0"/>
        <v xml:space="preserve"> 1538353</v>
      </c>
      <c r="D32">
        <v>1538353</v>
      </c>
    </row>
    <row r="33" spans="1:4" x14ac:dyDescent="0.3">
      <c r="A33" t="s">
        <v>424</v>
      </c>
      <c r="B33" t="str">
        <f t="shared" si="0"/>
        <v xml:space="preserve"> 1580249</v>
      </c>
      <c r="D33">
        <v>1580249</v>
      </c>
    </row>
    <row r="34" spans="1:4" x14ac:dyDescent="0.3">
      <c r="A34" t="s">
        <v>425</v>
      </c>
      <c r="B34" t="str">
        <f t="shared" si="0"/>
        <v xml:space="preserve"> 1636261</v>
      </c>
      <c r="D34">
        <v>1636261</v>
      </c>
    </row>
    <row r="35" spans="1:4" x14ac:dyDescent="0.3">
      <c r="A35" t="s">
        <v>426</v>
      </c>
      <c r="B35" t="str">
        <f t="shared" si="0"/>
        <v xml:space="preserve"> 1632769</v>
      </c>
      <c r="D35">
        <v>1632769</v>
      </c>
    </row>
    <row r="36" spans="1:4" x14ac:dyDescent="0.3">
      <c r="A36" t="s">
        <v>427</v>
      </c>
      <c r="B36" t="str">
        <f t="shared" si="0"/>
        <v xml:space="preserve"> 1572274</v>
      </c>
      <c r="D36">
        <v>1572274</v>
      </c>
    </row>
    <row r="37" spans="1:4" x14ac:dyDescent="0.3">
      <c r="A37" t="s">
        <v>428</v>
      </c>
      <c r="B37" t="str">
        <f t="shared" si="0"/>
        <v xml:space="preserve"> 1558402</v>
      </c>
      <c r="D37">
        <v>1558402</v>
      </c>
    </row>
    <row r="38" spans="1:4" x14ac:dyDescent="0.3">
      <c r="A38" t="s">
        <v>429</v>
      </c>
      <c r="B38" t="str">
        <f t="shared" si="0"/>
        <v xml:space="preserve"> 1621139</v>
      </c>
      <c r="D38">
        <v>1621139</v>
      </c>
    </row>
    <row r="39" spans="1:4" x14ac:dyDescent="0.3">
      <c r="A39" t="s">
        <v>430</v>
      </c>
      <c r="B39" t="str">
        <f t="shared" si="0"/>
        <v xml:space="preserve"> 1607476</v>
      </c>
      <c r="D39">
        <v>1607476</v>
      </c>
    </row>
    <row r="40" spans="1:4" x14ac:dyDescent="0.3">
      <c r="A40" t="s">
        <v>431</v>
      </c>
      <c r="B40" t="str">
        <f t="shared" si="0"/>
        <v xml:space="preserve"> 1529469</v>
      </c>
      <c r="D40">
        <v>1529469</v>
      </c>
    </row>
    <row r="41" spans="1:4" x14ac:dyDescent="0.3">
      <c r="A41" t="s">
        <v>432</v>
      </c>
      <c r="B41" t="str">
        <f t="shared" si="0"/>
        <v xml:space="preserve"> 1596940</v>
      </c>
      <c r="D41">
        <v>1596940</v>
      </c>
    </row>
    <row r="42" spans="1:4" x14ac:dyDescent="0.3">
      <c r="A42" t="s">
        <v>433</v>
      </c>
      <c r="B42" t="str">
        <f t="shared" si="0"/>
        <v xml:space="preserve"> 1630368</v>
      </c>
      <c r="D42">
        <v>1630368</v>
      </c>
    </row>
    <row r="43" spans="1:4" x14ac:dyDescent="0.3">
      <c r="A43" t="s">
        <v>434</v>
      </c>
      <c r="B43" t="str">
        <f t="shared" si="0"/>
        <v xml:space="preserve"> 1500646</v>
      </c>
      <c r="D43">
        <v>1500646</v>
      </c>
    </row>
    <row r="44" spans="1:4" x14ac:dyDescent="0.3">
      <c r="A44" t="s">
        <v>435</v>
      </c>
      <c r="B44" t="str">
        <f t="shared" si="0"/>
        <v xml:space="preserve"> 1600314</v>
      </c>
      <c r="D44">
        <v>1600314</v>
      </c>
    </row>
    <row r="45" spans="1:4" x14ac:dyDescent="0.3">
      <c r="A45" t="s">
        <v>436</v>
      </c>
      <c r="B45" t="str">
        <f t="shared" si="0"/>
        <v xml:space="preserve"> 1624646</v>
      </c>
      <c r="D45">
        <v>1624646</v>
      </c>
    </row>
    <row r="46" spans="1:4" x14ac:dyDescent="0.3">
      <c r="A46" t="s">
        <v>437</v>
      </c>
      <c r="B46" t="str">
        <f t="shared" si="0"/>
        <v xml:space="preserve"> 1588528</v>
      </c>
      <c r="D46">
        <v>1588528</v>
      </c>
    </row>
    <row r="47" spans="1:4" x14ac:dyDescent="0.3">
      <c r="A47" t="s">
        <v>438</v>
      </c>
      <c r="B47" t="str">
        <f t="shared" si="0"/>
        <v xml:space="preserve"> 1504533</v>
      </c>
      <c r="D47">
        <v>1504533</v>
      </c>
    </row>
    <row r="48" spans="1:4" x14ac:dyDescent="0.3">
      <c r="A48" t="s">
        <v>439</v>
      </c>
      <c r="B48" t="str">
        <f t="shared" si="0"/>
        <v xml:space="preserve"> 1633719</v>
      </c>
      <c r="D48">
        <v>1633719</v>
      </c>
    </row>
    <row r="49" spans="1:4" x14ac:dyDescent="0.3">
      <c r="A49" t="s">
        <v>440</v>
      </c>
      <c r="B49" t="str">
        <f t="shared" si="0"/>
        <v xml:space="preserve"> 1572080</v>
      </c>
      <c r="D49">
        <v>1572080</v>
      </c>
    </row>
    <row r="50" spans="1:4" x14ac:dyDescent="0.3">
      <c r="A50" t="s">
        <v>441</v>
      </c>
      <c r="B50" t="str">
        <f t="shared" si="0"/>
        <v xml:space="preserve"> 1635144</v>
      </c>
      <c r="D50">
        <v>1635144</v>
      </c>
    </row>
    <row r="51" spans="1:4" x14ac:dyDescent="0.3">
      <c r="A51" t="s">
        <v>442</v>
      </c>
      <c r="B51" t="str">
        <f t="shared" si="0"/>
        <v xml:space="preserve"> 1681980</v>
      </c>
      <c r="D51">
        <v>1681980</v>
      </c>
    </row>
    <row r="52" spans="1:4" x14ac:dyDescent="0.3">
      <c r="A52" t="s">
        <v>443</v>
      </c>
      <c r="B52" t="str">
        <f t="shared" si="0"/>
        <v xml:space="preserve"> 1616686</v>
      </c>
      <c r="D52">
        <v>1616686</v>
      </c>
    </row>
    <row r="53" spans="1:4" x14ac:dyDescent="0.3">
      <c r="A53" t="s">
        <v>444</v>
      </c>
      <c r="B53" t="str">
        <f t="shared" si="0"/>
        <v xml:space="preserve"> 1654430</v>
      </c>
      <c r="D53">
        <v>1654430</v>
      </c>
    </row>
    <row r="54" spans="1:4" x14ac:dyDescent="0.3">
      <c r="A54" t="s">
        <v>445</v>
      </c>
      <c r="B54" t="str">
        <f t="shared" si="0"/>
        <v xml:space="preserve"> 1583262</v>
      </c>
      <c r="D54">
        <v>1583262</v>
      </c>
    </row>
    <row r="55" spans="1:4" x14ac:dyDescent="0.3">
      <c r="A55" t="s">
        <v>446</v>
      </c>
      <c r="B55" t="str">
        <f t="shared" si="0"/>
        <v xml:space="preserve"> 1632583</v>
      </c>
      <c r="D55">
        <v>1632583</v>
      </c>
    </row>
    <row r="56" spans="1:4" x14ac:dyDescent="0.3">
      <c r="A56" t="s">
        <v>447</v>
      </c>
      <c r="B56" t="str">
        <f t="shared" si="0"/>
        <v xml:space="preserve"> 1565564</v>
      </c>
      <c r="D56">
        <v>1565564</v>
      </c>
    </row>
    <row r="57" spans="1:4" x14ac:dyDescent="0.3">
      <c r="A57" t="s">
        <v>448</v>
      </c>
      <c r="B57" t="str">
        <f t="shared" si="0"/>
        <v xml:space="preserve"> 1686999</v>
      </c>
      <c r="D57">
        <v>1686999</v>
      </c>
    </row>
    <row r="58" spans="1:4" x14ac:dyDescent="0.3">
      <c r="A58" t="s">
        <v>449</v>
      </c>
      <c r="B58" t="str">
        <f t="shared" si="0"/>
        <v xml:space="preserve"> 1576423</v>
      </c>
      <c r="D58">
        <v>1576423</v>
      </c>
    </row>
    <row r="59" spans="1:4" x14ac:dyDescent="0.3">
      <c r="A59" t="s">
        <v>450</v>
      </c>
      <c r="B59" t="str">
        <f t="shared" si="0"/>
        <v xml:space="preserve"> 1593152</v>
      </c>
      <c r="D59">
        <v>1593152</v>
      </c>
    </row>
    <row r="60" spans="1:4" x14ac:dyDescent="0.3">
      <c r="A60" t="s">
        <v>451</v>
      </c>
      <c r="B60" t="str">
        <f t="shared" si="0"/>
        <v xml:space="preserve"> 1588455</v>
      </c>
      <c r="D60">
        <v>1588455</v>
      </c>
    </row>
    <row r="61" spans="1:4" x14ac:dyDescent="0.3">
      <c r="A61" t="s">
        <v>452</v>
      </c>
      <c r="B61" t="str">
        <f t="shared" si="0"/>
        <v xml:space="preserve"> 1671198</v>
      </c>
      <c r="D61">
        <v>1671198</v>
      </c>
    </row>
    <row r="62" spans="1:4" x14ac:dyDescent="0.3">
      <c r="A62" t="s">
        <v>453</v>
      </c>
      <c r="B62" t="str">
        <f t="shared" si="0"/>
        <v xml:space="preserve"> 1572422</v>
      </c>
      <c r="D62">
        <v>1572422</v>
      </c>
    </row>
    <row r="63" spans="1:4" x14ac:dyDescent="0.3">
      <c r="A63" t="s">
        <v>454</v>
      </c>
      <c r="B63" t="str">
        <f t="shared" si="0"/>
        <v xml:space="preserve"> 1652572</v>
      </c>
      <c r="D63">
        <v>1652572</v>
      </c>
    </row>
    <row r="64" spans="1:4" x14ac:dyDescent="0.3">
      <c r="A64" t="s">
        <v>455</v>
      </c>
      <c r="B64" t="str">
        <f t="shared" si="0"/>
        <v xml:space="preserve"> 1722665</v>
      </c>
      <c r="D64">
        <v>1722665</v>
      </c>
    </row>
    <row r="65" spans="1:4" x14ac:dyDescent="0.3">
      <c r="A65" t="s">
        <v>456</v>
      </c>
      <c r="B65" t="str">
        <f t="shared" si="0"/>
        <v xml:space="preserve"> 1694845</v>
      </c>
      <c r="D65">
        <v>1694845</v>
      </c>
    </row>
    <row r="66" spans="1:4" x14ac:dyDescent="0.3">
      <c r="A66" t="s">
        <v>457</v>
      </c>
      <c r="B66" t="str">
        <f t="shared" ref="B66:B81" si="1">MID(A66, FIND(", Bytes:", A66) + 8, FIND("[B/s]", A66) - FIND(", Bytes:", A66) - 8)</f>
        <v xml:space="preserve"> 1780550</v>
      </c>
      <c r="D66">
        <v>1780550</v>
      </c>
    </row>
    <row r="67" spans="1:4" x14ac:dyDescent="0.3">
      <c r="A67" t="s">
        <v>458</v>
      </c>
      <c r="B67" t="str">
        <f t="shared" si="1"/>
        <v xml:space="preserve"> 1625345</v>
      </c>
      <c r="D67">
        <v>1625345</v>
      </c>
    </row>
    <row r="68" spans="1:4" x14ac:dyDescent="0.3">
      <c r="A68" t="s">
        <v>459</v>
      </c>
      <c r="B68" t="str">
        <f t="shared" si="1"/>
        <v xml:space="preserve"> 1696684</v>
      </c>
      <c r="D68">
        <v>1696684</v>
      </c>
    </row>
    <row r="69" spans="1:4" x14ac:dyDescent="0.3">
      <c r="A69" t="s">
        <v>460</v>
      </c>
      <c r="B69" t="str">
        <f t="shared" si="1"/>
        <v xml:space="preserve"> 1638476</v>
      </c>
      <c r="D69">
        <v>1638476</v>
      </c>
    </row>
    <row r="70" spans="1:4" x14ac:dyDescent="0.3">
      <c r="A70" t="s">
        <v>461</v>
      </c>
      <c r="B70" t="str">
        <f t="shared" si="1"/>
        <v xml:space="preserve"> 1662996</v>
      </c>
      <c r="D70">
        <v>1662996</v>
      </c>
    </row>
    <row r="71" spans="1:4" x14ac:dyDescent="0.3">
      <c r="A71" t="s">
        <v>462</v>
      </c>
      <c r="B71" t="str">
        <f t="shared" si="1"/>
        <v xml:space="preserve"> 1667331</v>
      </c>
      <c r="D71">
        <v>1667331</v>
      </c>
    </row>
    <row r="72" spans="1:4" x14ac:dyDescent="0.3">
      <c r="A72" t="s">
        <v>463</v>
      </c>
      <c r="B72" t="str">
        <f t="shared" si="1"/>
        <v xml:space="preserve"> 1647572</v>
      </c>
      <c r="D72">
        <v>1647572</v>
      </c>
    </row>
    <row r="73" spans="1:4" x14ac:dyDescent="0.3">
      <c r="A73" t="s">
        <v>464</v>
      </c>
      <c r="B73" t="str">
        <f t="shared" si="1"/>
        <v xml:space="preserve"> 1622351</v>
      </c>
      <c r="D73">
        <v>1622351</v>
      </c>
    </row>
    <row r="74" spans="1:4" x14ac:dyDescent="0.3">
      <c r="A74" t="s">
        <v>465</v>
      </c>
      <c r="B74" t="str">
        <f t="shared" si="1"/>
        <v xml:space="preserve"> 1710989</v>
      </c>
      <c r="D74">
        <v>1710989</v>
      </c>
    </row>
    <row r="75" spans="1:4" x14ac:dyDescent="0.3">
      <c r="A75" t="s">
        <v>466</v>
      </c>
      <c r="B75" t="str">
        <f t="shared" si="1"/>
        <v xml:space="preserve"> 1661007</v>
      </c>
      <c r="D75">
        <v>1661007</v>
      </c>
    </row>
    <row r="76" spans="1:4" x14ac:dyDescent="0.3">
      <c r="A76" t="s">
        <v>467</v>
      </c>
      <c r="B76" t="str">
        <f t="shared" si="1"/>
        <v xml:space="preserve"> 1678853</v>
      </c>
      <c r="D76">
        <v>1678853</v>
      </c>
    </row>
    <row r="77" spans="1:4" x14ac:dyDescent="0.3">
      <c r="A77" t="s">
        <v>468</v>
      </c>
      <c r="B77" t="str">
        <f t="shared" si="1"/>
        <v xml:space="preserve"> 1690582</v>
      </c>
      <c r="D77">
        <v>1690582</v>
      </c>
    </row>
    <row r="78" spans="1:4" x14ac:dyDescent="0.3">
      <c r="A78" t="s">
        <v>469</v>
      </c>
      <c r="B78" t="str">
        <f t="shared" si="1"/>
        <v xml:space="preserve"> 1707980</v>
      </c>
      <c r="D78">
        <v>1707980</v>
      </c>
    </row>
    <row r="79" spans="1:4" x14ac:dyDescent="0.3">
      <c r="A79" t="s">
        <v>470</v>
      </c>
      <c r="B79" t="str">
        <f t="shared" si="1"/>
        <v xml:space="preserve"> 1750420</v>
      </c>
      <c r="D79">
        <v>1750420</v>
      </c>
    </row>
    <row r="80" spans="1:4" x14ac:dyDescent="0.3">
      <c r="A80" t="s">
        <v>471</v>
      </c>
      <c r="B80" t="str">
        <f t="shared" si="1"/>
        <v xml:space="preserve"> 1689218</v>
      </c>
      <c r="D80">
        <v>1689218</v>
      </c>
    </row>
    <row r="81" spans="1:4" x14ac:dyDescent="0.3">
      <c r="A81" t="s">
        <v>472</v>
      </c>
      <c r="B81" t="str">
        <f t="shared" si="1"/>
        <v xml:space="preserve"> 1663773</v>
      </c>
      <c r="D81">
        <v>1663773</v>
      </c>
    </row>
    <row r="83" spans="1:4" x14ac:dyDescent="0.3">
      <c r="D83">
        <f>AVERAGE(D1:D81)</f>
        <v>1625344.7160493827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5EF8-71C6-439E-9D54-A6A55688ABFF}">
  <dimension ref="A1:D51"/>
  <sheetViews>
    <sheetView zoomScale="110" zoomScaleNormal="110" workbookViewId="0">
      <selection activeCell="A11" sqref="A11"/>
    </sheetView>
  </sheetViews>
  <sheetFormatPr baseColWidth="10" defaultRowHeight="14.4" x14ac:dyDescent="0.3"/>
  <cols>
    <col min="1" max="1" width="114.44140625" customWidth="1"/>
    <col min="2" max="2" width="17.77734375" customWidth="1"/>
    <col min="4" max="4" width="11.5546875" style="1" customWidth="1"/>
  </cols>
  <sheetData>
    <row r="1" spans="1:4" x14ac:dyDescent="0.3">
      <c r="A1" t="s">
        <v>0</v>
      </c>
      <c r="B1" t="str">
        <f>MID(A1, FIND(", Bytes:", A1) + 8, FIND("[B/s]", A1) - FIND(", Bytes:", A1) - 8)</f>
        <v xml:space="preserve"> 980288</v>
      </c>
      <c r="D1">
        <v>980288</v>
      </c>
    </row>
    <row r="2" spans="1:4" x14ac:dyDescent="0.3">
      <c r="A2" t="s">
        <v>1</v>
      </c>
      <c r="B2" t="str">
        <f t="shared" ref="B2:B47" si="0">MID(A2, FIND(", Bytes:", A2) + 8, FIND("[B/s]", A2) - FIND(", Bytes:", A2) - 8)</f>
        <v xml:space="preserve"> 724896</v>
      </c>
      <c r="D2">
        <v>724896</v>
      </c>
    </row>
    <row r="3" spans="1:4" x14ac:dyDescent="0.3">
      <c r="A3" t="s">
        <v>2</v>
      </c>
      <c r="B3" t="str">
        <f t="shared" si="0"/>
        <v xml:space="preserve"> 958336</v>
      </c>
      <c r="D3">
        <v>958336</v>
      </c>
    </row>
    <row r="4" spans="1:4" x14ac:dyDescent="0.3">
      <c r="A4" t="s">
        <v>3</v>
      </c>
      <c r="B4" t="str">
        <f t="shared" si="0"/>
        <v xml:space="preserve"> 902240</v>
      </c>
      <c r="D4">
        <v>902240</v>
      </c>
    </row>
    <row r="5" spans="1:4" x14ac:dyDescent="0.3">
      <c r="A5" t="s">
        <v>4</v>
      </c>
      <c r="B5" t="str">
        <f t="shared" si="0"/>
        <v xml:space="preserve"> 1119104</v>
      </c>
      <c r="D5">
        <v>1119104</v>
      </c>
    </row>
    <row r="6" spans="1:4" x14ac:dyDescent="0.3">
      <c r="A6" t="s">
        <v>5</v>
      </c>
      <c r="B6" t="str">
        <f t="shared" si="0"/>
        <v xml:space="preserve"> 735872</v>
      </c>
      <c r="D6">
        <v>735872</v>
      </c>
    </row>
    <row r="7" spans="1:4" x14ac:dyDescent="0.3">
      <c r="A7" t="s">
        <v>6</v>
      </c>
      <c r="B7" s="1" t="str">
        <f t="shared" si="0"/>
        <v xml:space="preserve"> 108064</v>
      </c>
      <c r="D7">
        <v>108064</v>
      </c>
    </row>
    <row r="8" spans="1:4" x14ac:dyDescent="0.3">
      <c r="A8" t="s">
        <v>7</v>
      </c>
      <c r="B8" t="str">
        <f t="shared" si="0"/>
        <v xml:space="preserve"> 491136</v>
      </c>
      <c r="D8">
        <v>491136</v>
      </c>
    </row>
    <row r="9" spans="1:4" x14ac:dyDescent="0.3">
      <c r="A9" t="s">
        <v>8</v>
      </c>
      <c r="B9" t="str">
        <f t="shared" si="0"/>
        <v xml:space="preserve"> 1173600</v>
      </c>
      <c r="D9">
        <v>1173600</v>
      </c>
    </row>
    <row r="10" spans="1:4" x14ac:dyDescent="0.3">
      <c r="A10" t="s">
        <v>9</v>
      </c>
      <c r="B10" t="str">
        <f t="shared" si="0"/>
        <v xml:space="preserve"> 880864</v>
      </c>
      <c r="D10">
        <v>880864</v>
      </c>
    </row>
    <row r="11" spans="1:4" x14ac:dyDescent="0.3">
      <c r="A11" t="s">
        <v>10</v>
      </c>
      <c r="B11" t="str">
        <f t="shared" si="0"/>
        <v xml:space="preserve"> 583232</v>
      </c>
      <c r="D11">
        <v>583232</v>
      </c>
    </row>
    <row r="12" spans="1:4" x14ac:dyDescent="0.3">
      <c r="A12" t="s">
        <v>11</v>
      </c>
      <c r="B12" t="str">
        <f t="shared" si="0"/>
        <v xml:space="preserve"> 535200</v>
      </c>
      <c r="D12">
        <v>535200</v>
      </c>
    </row>
    <row r="13" spans="1:4" x14ac:dyDescent="0.3">
      <c r="A13" t="s">
        <v>12</v>
      </c>
      <c r="B13" t="str">
        <f t="shared" si="0"/>
        <v xml:space="preserve"> 1130176</v>
      </c>
      <c r="D13">
        <v>1130176</v>
      </c>
    </row>
    <row r="14" spans="1:4" x14ac:dyDescent="0.3">
      <c r="A14" t="s">
        <v>13</v>
      </c>
      <c r="B14" t="str">
        <f>MID(A14, FIND(", Bytes:", A14) + 8, FIND("[B/s]", A14) - FIND(", Bytes:", A14) - 8)</f>
        <v xml:space="preserve"> 800512</v>
      </c>
      <c r="D14">
        <v>800512</v>
      </c>
    </row>
    <row r="15" spans="1:4" x14ac:dyDescent="0.3">
      <c r="A15" t="s">
        <v>14</v>
      </c>
      <c r="B15" t="str">
        <f t="shared" si="0"/>
        <v xml:space="preserve"> 857792</v>
      </c>
      <c r="D15">
        <v>857792</v>
      </c>
    </row>
    <row r="16" spans="1:4" x14ac:dyDescent="0.3">
      <c r="A16" t="s">
        <v>15</v>
      </c>
      <c r="B16" t="str">
        <f t="shared" si="0"/>
        <v xml:space="preserve"> 988000</v>
      </c>
      <c r="D16">
        <v>988000</v>
      </c>
    </row>
    <row r="17" spans="1:4" x14ac:dyDescent="0.3">
      <c r="A17" t="s">
        <v>16</v>
      </c>
      <c r="B17" t="str">
        <f t="shared" si="0"/>
        <v xml:space="preserve"> 765408</v>
      </c>
      <c r="D17">
        <v>765408</v>
      </c>
    </row>
    <row r="18" spans="1:4" x14ac:dyDescent="0.3">
      <c r="A18" t="s">
        <v>17</v>
      </c>
      <c r="B18" t="str">
        <f t="shared" si="0"/>
        <v xml:space="preserve"> 774784</v>
      </c>
      <c r="D18">
        <v>774784</v>
      </c>
    </row>
    <row r="19" spans="1:4" x14ac:dyDescent="0.3">
      <c r="A19" t="s">
        <v>18</v>
      </c>
      <c r="B19" t="str">
        <f t="shared" si="0"/>
        <v xml:space="preserve"> 960800</v>
      </c>
      <c r="D19">
        <v>960800</v>
      </c>
    </row>
    <row r="20" spans="1:4" x14ac:dyDescent="0.3">
      <c r="A20" t="s">
        <v>19</v>
      </c>
      <c r="B20" t="str">
        <f t="shared" si="0"/>
        <v xml:space="preserve"> 909438</v>
      </c>
      <c r="D20">
        <v>909438</v>
      </c>
    </row>
    <row r="21" spans="1:4" x14ac:dyDescent="0.3">
      <c r="A21" t="s">
        <v>20</v>
      </c>
      <c r="B21" t="str">
        <f t="shared" si="0"/>
        <v xml:space="preserve"> 1177410</v>
      </c>
      <c r="D21">
        <v>1177410</v>
      </c>
    </row>
    <row r="22" spans="1:4" x14ac:dyDescent="0.3">
      <c r="A22" t="s">
        <v>21</v>
      </c>
      <c r="B22" t="str">
        <f t="shared" si="0"/>
        <v xml:space="preserve"> 1082336</v>
      </c>
      <c r="D22">
        <v>1082336</v>
      </c>
    </row>
    <row r="23" spans="1:4" x14ac:dyDescent="0.3">
      <c r="A23" t="s">
        <v>22</v>
      </c>
      <c r="B23" t="str">
        <f t="shared" si="0"/>
        <v xml:space="preserve"> 855680</v>
      </c>
      <c r="D23">
        <v>855680</v>
      </c>
    </row>
    <row r="24" spans="1:4" x14ac:dyDescent="0.3">
      <c r="A24" t="s">
        <v>23</v>
      </c>
      <c r="B24" t="str">
        <f t="shared" si="0"/>
        <v xml:space="preserve"> 716864</v>
      </c>
      <c r="D24">
        <v>716864</v>
      </c>
    </row>
    <row r="25" spans="1:4" x14ac:dyDescent="0.3">
      <c r="A25" t="s">
        <v>24</v>
      </c>
      <c r="B25" t="str">
        <f t="shared" si="0"/>
        <v xml:space="preserve"> 820608</v>
      </c>
      <c r="D25">
        <v>820608</v>
      </c>
    </row>
    <row r="26" spans="1:4" x14ac:dyDescent="0.3">
      <c r="A26" t="s">
        <v>25</v>
      </c>
      <c r="B26" t="str">
        <f>MID(A26, FIND(", Bytes:", A26) + 8, FIND("[B/s]", A26) - FIND(", Bytes:", A26) - 8)</f>
        <v xml:space="preserve"> 844992</v>
      </c>
      <c r="D26">
        <v>844992</v>
      </c>
    </row>
    <row r="27" spans="1:4" x14ac:dyDescent="0.3">
      <c r="A27" t="s">
        <v>26</v>
      </c>
      <c r="B27" t="str">
        <f t="shared" si="0"/>
        <v xml:space="preserve"> 826432</v>
      </c>
      <c r="D27">
        <v>826432</v>
      </c>
    </row>
    <row r="28" spans="1:4" x14ac:dyDescent="0.3">
      <c r="A28" t="s">
        <v>27</v>
      </c>
      <c r="B28" t="str">
        <f t="shared" si="0"/>
        <v xml:space="preserve"> 1154304</v>
      </c>
      <c r="D28">
        <v>1154304</v>
      </c>
    </row>
    <row r="29" spans="1:4" x14ac:dyDescent="0.3">
      <c r="A29" t="s">
        <v>28</v>
      </c>
      <c r="B29" t="str">
        <f t="shared" si="0"/>
        <v xml:space="preserve"> 1026144</v>
      </c>
      <c r="D29">
        <v>1026144</v>
      </c>
    </row>
    <row r="30" spans="1:4" x14ac:dyDescent="0.3">
      <c r="A30" t="s">
        <v>29</v>
      </c>
      <c r="B30" t="str">
        <f t="shared" si="0"/>
        <v xml:space="preserve"> 845728</v>
      </c>
      <c r="D30">
        <v>845728</v>
      </c>
    </row>
    <row r="31" spans="1:4" x14ac:dyDescent="0.3">
      <c r="A31" t="s">
        <v>30</v>
      </c>
      <c r="B31" t="str">
        <f t="shared" si="0"/>
        <v xml:space="preserve"> 922688</v>
      </c>
      <c r="D31">
        <v>922688</v>
      </c>
    </row>
    <row r="32" spans="1:4" x14ac:dyDescent="0.3">
      <c r="A32" t="s">
        <v>31</v>
      </c>
      <c r="B32" t="str">
        <f t="shared" si="0"/>
        <v xml:space="preserve"> 386336</v>
      </c>
      <c r="D32">
        <v>386336</v>
      </c>
    </row>
    <row r="33" spans="1:4" x14ac:dyDescent="0.3">
      <c r="A33" t="s">
        <v>32</v>
      </c>
      <c r="B33" t="str">
        <f t="shared" si="0"/>
        <v xml:space="preserve"> 981696</v>
      </c>
      <c r="D33">
        <v>981696</v>
      </c>
    </row>
    <row r="34" spans="1:4" x14ac:dyDescent="0.3">
      <c r="A34" t="s">
        <v>33</v>
      </c>
      <c r="B34" t="str">
        <f t="shared" si="0"/>
        <v xml:space="preserve"> 1061599</v>
      </c>
      <c r="D34">
        <v>1061599</v>
      </c>
    </row>
    <row r="35" spans="1:4" x14ac:dyDescent="0.3">
      <c r="A35" t="s">
        <v>34</v>
      </c>
      <c r="B35" t="str">
        <f t="shared" si="0"/>
        <v xml:space="preserve"> 676097</v>
      </c>
      <c r="D35">
        <v>676097</v>
      </c>
    </row>
    <row r="36" spans="1:4" x14ac:dyDescent="0.3">
      <c r="A36" t="s">
        <v>35</v>
      </c>
      <c r="B36" t="str">
        <f t="shared" si="0"/>
        <v xml:space="preserve"> 1112960</v>
      </c>
      <c r="D36">
        <v>1112960</v>
      </c>
    </row>
    <row r="37" spans="1:4" x14ac:dyDescent="0.3">
      <c r="A37" t="s">
        <v>36</v>
      </c>
      <c r="B37" t="str">
        <f t="shared" si="0"/>
        <v xml:space="preserve"> 907680</v>
      </c>
      <c r="D37">
        <v>907680</v>
      </c>
    </row>
    <row r="38" spans="1:4" x14ac:dyDescent="0.3">
      <c r="A38" t="s">
        <v>37</v>
      </c>
      <c r="B38" t="str">
        <f t="shared" si="0"/>
        <v xml:space="preserve"> 1181024</v>
      </c>
      <c r="D38">
        <v>1181024</v>
      </c>
    </row>
    <row r="39" spans="1:4" x14ac:dyDescent="0.3">
      <c r="A39" t="s">
        <v>38</v>
      </c>
      <c r="B39" t="str">
        <f>MID(A39, FIND(", Bytes:", A39) + 8, FIND("[B/s]", A39) - FIND(", Bytes:", A39) - 8)</f>
        <v xml:space="preserve"> 1115936</v>
      </c>
      <c r="D39">
        <v>1115936</v>
      </c>
    </row>
    <row r="40" spans="1:4" x14ac:dyDescent="0.3">
      <c r="A40" t="s">
        <v>39</v>
      </c>
      <c r="B40" t="str">
        <f t="shared" si="0"/>
        <v xml:space="preserve"> 532512</v>
      </c>
      <c r="D40">
        <v>532512</v>
      </c>
    </row>
    <row r="41" spans="1:4" x14ac:dyDescent="0.3">
      <c r="A41" t="s">
        <v>40</v>
      </c>
      <c r="B41" t="str">
        <f t="shared" si="0"/>
        <v xml:space="preserve"> 1085184</v>
      </c>
      <c r="D41">
        <v>1085184</v>
      </c>
    </row>
    <row r="42" spans="1:4" x14ac:dyDescent="0.3">
      <c r="A42" t="s">
        <v>41</v>
      </c>
      <c r="B42" t="str">
        <f t="shared" si="0"/>
        <v xml:space="preserve"> 970848</v>
      </c>
      <c r="D42">
        <v>970848</v>
      </c>
    </row>
    <row r="43" spans="1:4" x14ac:dyDescent="0.3">
      <c r="A43" t="s">
        <v>42</v>
      </c>
      <c r="B43" t="str">
        <f t="shared" si="0"/>
        <v xml:space="preserve"> 1165824</v>
      </c>
      <c r="D43">
        <v>1165824</v>
      </c>
    </row>
    <row r="44" spans="1:4" x14ac:dyDescent="0.3">
      <c r="A44" t="s">
        <v>43</v>
      </c>
      <c r="B44" t="str">
        <f t="shared" si="0"/>
        <v xml:space="preserve"> 905312</v>
      </c>
      <c r="D44">
        <v>905312</v>
      </c>
    </row>
    <row r="45" spans="1:4" x14ac:dyDescent="0.3">
      <c r="A45" t="s">
        <v>44</v>
      </c>
      <c r="B45" t="str">
        <f t="shared" si="0"/>
        <v xml:space="preserve"> 1085728</v>
      </c>
      <c r="D45">
        <v>1085728</v>
      </c>
    </row>
    <row r="46" spans="1:4" x14ac:dyDescent="0.3">
      <c r="A46" t="s">
        <v>45</v>
      </c>
      <c r="B46" t="str">
        <f t="shared" si="0"/>
        <v xml:space="preserve"> 599360</v>
      </c>
      <c r="D46">
        <v>599360</v>
      </c>
    </row>
    <row r="47" spans="1:4" x14ac:dyDescent="0.3">
      <c r="A47" t="s">
        <v>46</v>
      </c>
      <c r="B47" t="str">
        <f t="shared" si="0"/>
        <v xml:space="preserve"> 299136</v>
      </c>
      <c r="D47">
        <v>299136</v>
      </c>
    </row>
    <row r="49" spans="2:4" x14ac:dyDescent="0.3">
      <c r="B49" s="1"/>
      <c r="C49" s="1"/>
      <c r="D49" s="1">
        <f>SUM(D1:D47)</f>
        <v>40720160</v>
      </c>
    </row>
    <row r="51" spans="2:4" x14ac:dyDescent="0.3">
      <c r="D51" s="1">
        <f>AVERAGE(D1:D47)</f>
        <v>866386.38297872338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BFEF-26D0-4532-A73F-5E8EF163C542}">
  <dimension ref="A1:D43"/>
  <sheetViews>
    <sheetView workbookViewId="0">
      <selection activeCell="B1" sqref="B1"/>
    </sheetView>
  </sheetViews>
  <sheetFormatPr baseColWidth="10" defaultRowHeight="14.4" x14ac:dyDescent="0.3"/>
  <cols>
    <col min="1" max="1" width="121.109375" customWidth="1"/>
  </cols>
  <sheetData>
    <row r="1" spans="1:4" x14ac:dyDescent="0.3">
      <c r="A1" t="s">
        <v>47</v>
      </c>
      <c r="B1" t="str">
        <f>MID(A1, FIND(", Bytes:", A1) + 8, FIND("[B/s]", A1) - FIND(", Bytes:", A1) - 8)</f>
        <v xml:space="preserve"> 1226880</v>
      </c>
      <c r="D1">
        <v>1226880</v>
      </c>
    </row>
    <row r="2" spans="1:4" x14ac:dyDescent="0.3">
      <c r="A2" t="s">
        <v>48</v>
      </c>
      <c r="B2" t="str">
        <f t="shared" ref="B2:B41" si="0">MID(A2, FIND(", Bytes:", A2) + 8, FIND("[B/s]", A2) - FIND(", Bytes:", A2) - 8)</f>
        <v xml:space="preserve"> 960640</v>
      </c>
      <c r="D2">
        <v>960640</v>
      </c>
    </row>
    <row r="3" spans="1:4" x14ac:dyDescent="0.3">
      <c r="A3" t="s">
        <v>49</v>
      </c>
      <c r="B3" t="str">
        <f t="shared" si="0"/>
        <v xml:space="preserve"> 1153312</v>
      </c>
      <c r="D3">
        <v>1153312</v>
      </c>
    </row>
    <row r="4" spans="1:4" x14ac:dyDescent="0.3">
      <c r="A4" t="s">
        <v>50</v>
      </c>
      <c r="B4" t="str">
        <f t="shared" si="0"/>
        <v xml:space="preserve"> 467008</v>
      </c>
      <c r="D4">
        <v>467008</v>
      </c>
    </row>
    <row r="5" spans="1:4" x14ac:dyDescent="0.3">
      <c r="A5" t="s">
        <v>51</v>
      </c>
      <c r="B5" t="str">
        <f t="shared" si="0"/>
        <v xml:space="preserve"> 5760</v>
      </c>
      <c r="D5">
        <v>5760</v>
      </c>
    </row>
    <row r="6" spans="1:4" x14ac:dyDescent="0.3">
      <c r="A6" t="s">
        <v>52</v>
      </c>
      <c r="B6" t="str">
        <f t="shared" si="0"/>
        <v xml:space="preserve"> 295616</v>
      </c>
      <c r="D6">
        <v>295616</v>
      </c>
    </row>
    <row r="7" spans="1:4" x14ac:dyDescent="0.3">
      <c r="A7" t="s">
        <v>53</v>
      </c>
      <c r="B7" t="str">
        <f t="shared" si="0"/>
        <v xml:space="preserve"> 1247360</v>
      </c>
      <c r="D7">
        <v>1247360</v>
      </c>
    </row>
    <row r="8" spans="1:4" x14ac:dyDescent="0.3">
      <c r="A8" t="s">
        <v>54</v>
      </c>
      <c r="B8" t="str">
        <f t="shared" si="0"/>
        <v xml:space="preserve"> 1339552</v>
      </c>
      <c r="D8">
        <v>1339552</v>
      </c>
    </row>
    <row r="9" spans="1:4" x14ac:dyDescent="0.3">
      <c r="A9" t="s">
        <v>55</v>
      </c>
      <c r="B9" t="str">
        <f t="shared" si="0"/>
        <v xml:space="preserve"> 1160096</v>
      </c>
      <c r="D9">
        <v>1160096</v>
      </c>
    </row>
    <row r="10" spans="1:4" x14ac:dyDescent="0.3">
      <c r="A10" t="s">
        <v>56</v>
      </c>
      <c r="B10" t="str">
        <f t="shared" si="0"/>
        <v xml:space="preserve"> 1300992</v>
      </c>
      <c r="D10">
        <v>1300992</v>
      </c>
    </row>
    <row r="11" spans="1:4" x14ac:dyDescent="0.3">
      <c r="A11" t="s">
        <v>57</v>
      </c>
      <c r="B11" t="str">
        <f t="shared" si="0"/>
        <v xml:space="preserve"> 1196928</v>
      </c>
      <c r="D11">
        <v>1196928</v>
      </c>
    </row>
    <row r="12" spans="1:4" x14ac:dyDescent="0.3">
      <c r="A12" t="s">
        <v>58</v>
      </c>
      <c r="B12" t="str">
        <f t="shared" si="0"/>
        <v xml:space="preserve"> 1295520</v>
      </c>
      <c r="D12">
        <v>1295520</v>
      </c>
    </row>
    <row r="13" spans="1:4" x14ac:dyDescent="0.3">
      <c r="A13" t="s">
        <v>59</v>
      </c>
      <c r="B13" t="str">
        <f t="shared" si="0"/>
        <v xml:space="preserve"> 1298048</v>
      </c>
      <c r="D13">
        <v>1298048</v>
      </c>
    </row>
    <row r="14" spans="1:4" x14ac:dyDescent="0.3">
      <c r="A14" t="s">
        <v>60</v>
      </c>
      <c r="B14" t="str">
        <f t="shared" si="0"/>
        <v xml:space="preserve"> 1352768</v>
      </c>
      <c r="D14">
        <v>1352768</v>
      </c>
    </row>
    <row r="15" spans="1:4" x14ac:dyDescent="0.3">
      <c r="A15" t="s">
        <v>61</v>
      </c>
      <c r="B15" t="str">
        <f t="shared" si="0"/>
        <v xml:space="preserve"> 1316416</v>
      </c>
      <c r="D15">
        <v>1316416</v>
      </c>
    </row>
    <row r="16" spans="1:4" x14ac:dyDescent="0.3">
      <c r="A16" t="s">
        <v>62</v>
      </c>
      <c r="B16" t="str">
        <f t="shared" si="0"/>
        <v xml:space="preserve"> 1204128</v>
      </c>
      <c r="D16">
        <v>1204128</v>
      </c>
    </row>
    <row r="17" spans="1:4" x14ac:dyDescent="0.3">
      <c r="A17" t="s">
        <v>63</v>
      </c>
      <c r="B17" t="str">
        <f t="shared" si="0"/>
        <v xml:space="preserve"> 1297472</v>
      </c>
      <c r="D17">
        <v>1297472</v>
      </c>
    </row>
    <row r="18" spans="1:4" x14ac:dyDescent="0.3">
      <c r="A18" t="s">
        <v>64</v>
      </c>
      <c r="B18" t="str">
        <f t="shared" si="0"/>
        <v xml:space="preserve"> 1356480</v>
      </c>
      <c r="D18">
        <v>1356480</v>
      </c>
    </row>
    <row r="19" spans="1:4" x14ac:dyDescent="0.3">
      <c r="A19" t="s">
        <v>65</v>
      </c>
      <c r="B19" t="str">
        <f t="shared" si="0"/>
        <v xml:space="preserve"> 978080</v>
      </c>
      <c r="D19">
        <v>978080</v>
      </c>
    </row>
    <row r="20" spans="1:4" x14ac:dyDescent="0.3">
      <c r="A20" t="s">
        <v>66</v>
      </c>
      <c r="B20" t="str">
        <f t="shared" si="0"/>
        <v xml:space="preserve"> 1215584</v>
      </c>
      <c r="D20">
        <v>1215584</v>
      </c>
    </row>
    <row r="21" spans="1:4" x14ac:dyDescent="0.3">
      <c r="A21" t="s">
        <v>67</v>
      </c>
      <c r="B21" t="str">
        <f t="shared" si="0"/>
        <v xml:space="preserve"> 1100384</v>
      </c>
      <c r="D21">
        <v>1100384</v>
      </c>
    </row>
    <row r="22" spans="1:4" x14ac:dyDescent="0.3">
      <c r="A22" t="s">
        <v>68</v>
      </c>
      <c r="B22" t="str">
        <f t="shared" si="0"/>
        <v xml:space="preserve"> 1080160</v>
      </c>
      <c r="D22">
        <v>1080160</v>
      </c>
    </row>
    <row r="23" spans="1:4" x14ac:dyDescent="0.3">
      <c r="A23" t="s">
        <v>69</v>
      </c>
      <c r="B23" t="str">
        <f t="shared" si="0"/>
        <v xml:space="preserve"> 1103424</v>
      </c>
      <c r="D23">
        <v>1103424</v>
      </c>
    </row>
    <row r="24" spans="1:4" x14ac:dyDescent="0.3">
      <c r="A24" t="s">
        <v>70</v>
      </c>
      <c r="B24" t="str">
        <f t="shared" si="0"/>
        <v xml:space="preserve"> 1187072</v>
      </c>
      <c r="D24">
        <v>1187072</v>
      </c>
    </row>
    <row r="25" spans="1:4" x14ac:dyDescent="0.3">
      <c r="A25" t="s">
        <v>71</v>
      </c>
      <c r="B25" t="str">
        <f t="shared" si="0"/>
        <v xml:space="preserve"> 1088128</v>
      </c>
      <c r="D25">
        <v>1088128</v>
      </c>
    </row>
    <row r="26" spans="1:4" x14ac:dyDescent="0.3">
      <c r="A26" t="s">
        <v>72</v>
      </c>
      <c r="B26" t="str">
        <f t="shared" si="0"/>
        <v xml:space="preserve"> 1059360</v>
      </c>
      <c r="D26">
        <v>1059360</v>
      </c>
    </row>
    <row r="27" spans="1:4" x14ac:dyDescent="0.3">
      <c r="A27" t="s">
        <v>73</v>
      </c>
      <c r="B27" t="str">
        <f t="shared" si="0"/>
        <v xml:space="preserve"> 1179008</v>
      </c>
      <c r="D27">
        <v>1179008</v>
      </c>
    </row>
    <row r="28" spans="1:4" x14ac:dyDescent="0.3">
      <c r="A28" t="s">
        <v>74</v>
      </c>
      <c r="B28" t="str">
        <f t="shared" si="0"/>
        <v xml:space="preserve"> 1027520</v>
      </c>
      <c r="D28">
        <v>1027520</v>
      </c>
    </row>
    <row r="29" spans="1:4" x14ac:dyDescent="0.3">
      <c r="A29" t="s">
        <v>75</v>
      </c>
      <c r="B29" t="str">
        <f t="shared" si="0"/>
        <v xml:space="preserve"> 1042176</v>
      </c>
      <c r="D29">
        <v>1042176</v>
      </c>
    </row>
    <row r="30" spans="1:4" x14ac:dyDescent="0.3">
      <c r="A30" t="s">
        <v>76</v>
      </c>
      <c r="B30" t="str">
        <f t="shared" si="0"/>
        <v xml:space="preserve"> 1094688</v>
      </c>
      <c r="D30">
        <v>1094688</v>
      </c>
    </row>
    <row r="31" spans="1:4" x14ac:dyDescent="0.3">
      <c r="A31" t="s">
        <v>77</v>
      </c>
      <c r="B31" t="str">
        <f t="shared" si="0"/>
        <v xml:space="preserve"> 1230080</v>
      </c>
      <c r="D31">
        <v>1230080</v>
      </c>
    </row>
    <row r="32" spans="1:4" x14ac:dyDescent="0.3">
      <c r="A32" t="s">
        <v>78</v>
      </c>
      <c r="B32" t="str">
        <f t="shared" si="0"/>
        <v xml:space="preserve"> 1194304</v>
      </c>
      <c r="D32">
        <v>1194304</v>
      </c>
    </row>
    <row r="33" spans="1:4" x14ac:dyDescent="0.3">
      <c r="A33" t="s">
        <v>79</v>
      </c>
      <c r="B33" t="str">
        <f t="shared" si="0"/>
        <v xml:space="preserve"> 1110592</v>
      </c>
      <c r="D33">
        <v>1110592</v>
      </c>
    </row>
    <row r="34" spans="1:4" x14ac:dyDescent="0.3">
      <c r="A34" t="s">
        <v>80</v>
      </c>
      <c r="B34" t="str">
        <f t="shared" si="0"/>
        <v xml:space="preserve"> 763488</v>
      </c>
      <c r="D34">
        <v>763488</v>
      </c>
    </row>
    <row r="35" spans="1:4" x14ac:dyDescent="0.3">
      <c r="A35" t="s">
        <v>81</v>
      </c>
      <c r="B35" t="str">
        <f t="shared" si="0"/>
        <v xml:space="preserve"> 0</v>
      </c>
      <c r="D35">
        <v>0</v>
      </c>
    </row>
    <row r="36" spans="1:4" x14ac:dyDescent="0.3">
      <c r="A36" t="s">
        <v>82</v>
      </c>
      <c r="B36" t="str">
        <f t="shared" si="0"/>
        <v xml:space="preserve"> 487968</v>
      </c>
      <c r="D36">
        <v>487968</v>
      </c>
    </row>
    <row r="37" spans="1:4" x14ac:dyDescent="0.3">
      <c r="A37" t="s">
        <v>83</v>
      </c>
      <c r="B37" t="str">
        <f t="shared" si="0"/>
        <v xml:space="preserve"> 1180128</v>
      </c>
      <c r="D37">
        <v>1180128</v>
      </c>
    </row>
    <row r="38" spans="1:4" x14ac:dyDescent="0.3">
      <c r="A38" t="s">
        <v>84</v>
      </c>
      <c r="B38" t="str">
        <f t="shared" si="0"/>
        <v xml:space="preserve"> 1024544</v>
      </c>
      <c r="D38">
        <v>1024544</v>
      </c>
    </row>
    <row r="39" spans="1:4" x14ac:dyDescent="0.3">
      <c r="A39" t="s">
        <v>85</v>
      </c>
      <c r="B39" t="str">
        <f t="shared" si="0"/>
        <v xml:space="preserve"> 1022976</v>
      </c>
      <c r="D39">
        <v>1022976</v>
      </c>
    </row>
    <row r="40" spans="1:4" x14ac:dyDescent="0.3">
      <c r="A40" t="s">
        <v>86</v>
      </c>
      <c r="B40" t="str">
        <f t="shared" si="0"/>
        <v xml:space="preserve"> 947936</v>
      </c>
      <c r="D40">
        <v>947936</v>
      </c>
    </row>
    <row r="41" spans="1:4" x14ac:dyDescent="0.3">
      <c r="A41" t="s">
        <v>87</v>
      </c>
      <c r="B41" t="str">
        <f t="shared" si="0"/>
        <v xml:space="preserve"> 727040</v>
      </c>
      <c r="D41">
        <v>727040</v>
      </c>
    </row>
    <row r="43" spans="1:4" x14ac:dyDescent="0.3">
      <c r="D43">
        <f>AVERAGE(D1:D41)</f>
        <v>1032185.756097561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C01B-FE3F-4C9F-AE6D-0D9E9F493F55}">
  <dimension ref="A1:D35"/>
  <sheetViews>
    <sheetView workbookViewId="0">
      <selection activeCell="D35" sqref="D35"/>
    </sheetView>
  </sheetViews>
  <sheetFormatPr baseColWidth="10" defaultRowHeight="14.4" x14ac:dyDescent="0.3"/>
  <cols>
    <col min="1" max="1" width="121.109375" customWidth="1"/>
  </cols>
  <sheetData>
    <row r="1" spans="1:4" x14ac:dyDescent="0.3">
      <c r="A1" t="s">
        <v>88</v>
      </c>
      <c r="B1" t="str">
        <f>MID(A1, FIND(", Bytes:", A1) + 8, FIND("[B/s]", A1) - FIND(", Bytes:", A1) - 8)</f>
        <v xml:space="preserve"> 1332128</v>
      </c>
      <c r="D1">
        <v>1332128</v>
      </c>
    </row>
    <row r="2" spans="1:4" x14ac:dyDescent="0.3">
      <c r="A2" t="s">
        <v>89</v>
      </c>
      <c r="B2" t="str">
        <f t="shared" ref="B2:B33" si="0">MID(A2, FIND(", Bytes:", A2) + 8, FIND("[B/s]", A2) - FIND(", Bytes:", A2) - 8)</f>
        <v xml:space="preserve"> 1220192</v>
      </c>
      <c r="D2">
        <v>1220192</v>
      </c>
    </row>
    <row r="3" spans="1:4" x14ac:dyDescent="0.3">
      <c r="A3" t="s">
        <v>90</v>
      </c>
      <c r="B3" t="str">
        <f t="shared" si="0"/>
        <v xml:space="preserve"> 1279136</v>
      </c>
      <c r="D3">
        <v>1279136</v>
      </c>
    </row>
    <row r="4" spans="1:4" x14ac:dyDescent="0.3">
      <c r="A4" t="s">
        <v>91</v>
      </c>
      <c r="B4" t="str">
        <f t="shared" si="0"/>
        <v xml:space="preserve"> 1259040</v>
      </c>
      <c r="D4">
        <v>1259040</v>
      </c>
    </row>
    <row r="5" spans="1:4" x14ac:dyDescent="0.3">
      <c r="A5" t="s">
        <v>92</v>
      </c>
      <c r="B5" t="str">
        <f t="shared" si="0"/>
        <v xml:space="preserve"> 1431168</v>
      </c>
      <c r="D5">
        <v>1431168</v>
      </c>
    </row>
    <row r="6" spans="1:4" x14ac:dyDescent="0.3">
      <c r="A6" t="s">
        <v>93</v>
      </c>
      <c r="B6" t="str">
        <f t="shared" si="0"/>
        <v xml:space="preserve"> 1194272</v>
      </c>
      <c r="D6">
        <v>1194272</v>
      </c>
    </row>
    <row r="7" spans="1:4" x14ac:dyDescent="0.3">
      <c r="A7" t="s">
        <v>94</v>
      </c>
      <c r="B7" t="str">
        <f t="shared" si="0"/>
        <v xml:space="preserve"> 1146112</v>
      </c>
      <c r="D7">
        <v>1146112</v>
      </c>
    </row>
    <row r="8" spans="1:4" x14ac:dyDescent="0.3">
      <c r="A8" t="s">
        <v>95</v>
      </c>
      <c r="B8" t="str">
        <f t="shared" si="0"/>
        <v xml:space="preserve"> 1395040</v>
      </c>
      <c r="D8">
        <v>1395040</v>
      </c>
    </row>
    <row r="9" spans="1:4" x14ac:dyDescent="0.3">
      <c r="A9" t="s">
        <v>96</v>
      </c>
      <c r="B9" t="str">
        <f t="shared" si="0"/>
        <v xml:space="preserve"> 1228224</v>
      </c>
      <c r="D9">
        <v>1228224</v>
      </c>
    </row>
    <row r="10" spans="1:4" x14ac:dyDescent="0.3">
      <c r="A10" t="s">
        <v>97</v>
      </c>
      <c r="B10" t="str">
        <f t="shared" si="0"/>
        <v xml:space="preserve"> 1231168</v>
      </c>
      <c r="D10">
        <v>1231168</v>
      </c>
    </row>
    <row r="11" spans="1:4" x14ac:dyDescent="0.3">
      <c r="A11" t="s">
        <v>98</v>
      </c>
      <c r="B11" t="str">
        <f t="shared" si="0"/>
        <v xml:space="preserve"> 1195040</v>
      </c>
      <c r="D11">
        <v>1195040</v>
      </c>
    </row>
    <row r="12" spans="1:4" x14ac:dyDescent="0.3">
      <c r="A12" t="s">
        <v>99</v>
      </c>
      <c r="B12" t="str">
        <f t="shared" si="0"/>
        <v xml:space="preserve"> 1184064</v>
      </c>
      <c r="D12">
        <v>1184064</v>
      </c>
    </row>
    <row r="13" spans="1:4" x14ac:dyDescent="0.3">
      <c r="A13" t="s">
        <v>100</v>
      </c>
      <c r="B13" t="str">
        <f t="shared" si="0"/>
        <v xml:space="preserve"> 1176288</v>
      </c>
      <c r="D13">
        <v>1176288</v>
      </c>
    </row>
    <row r="14" spans="1:4" x14ac:dyDescent="0.3">
      <c r="A14" t="s">
        <v>101</v>
      </c>
      <c r="B14" t="str">
        <f t="shared" si="0"/>
        <v xml:space="preserve"> 1231040</v>
      </c>
      <c r="D14">
        <v>1231040</v>
      </c>
    </row>
    <row r="15" spans="1:4" x14ac:dyDescent="0.3">
      <c r="A15" t="s">
        <v>102</v>
      </c>
      <c r="B15" t="str">
        <f t="shared" si="0"/>
        <v xml:space="preserve"> 1271392</v>
      </c>
      <c r="D15">
        <v>1271392</v>
      </c>
    </row>
    <row r="16" spans="1:4" x14ac:dyDescent="0.3">
      <c r="A16" t="s">
        <v>103</v>
      </c>
      <c r="B16" t="str">
        <f t="shared" si="0"/>
        <v xml:space="preserve"> 1229824</v>
      </c>
      <c r="D16">
        <v>1229824</v>
      </c>
    </row>
    <row r="17" spans="1:4" x14ac:dyDescent="0.3">
      <c r="A17" t="s">
        <v>104</v>
      </c>
      <c r="B17" t="str">
        <f t="shared" si="0"/>
        <v xml:space="preserve"> 1142112</v>
      </c>
      <c r="D17">
        <v>1142112</v>
      </c>
    </row>
    <row r="18" spans="1:4" x14ac:dyDescent="0.3">
      <c r="A18" t="s">
        <v>105</v>
      </c>
      <c r="B18" t="str">
        <f t="shared" si="0"/>
        <v xml:space="preserve"> 1276064</v>
      </c>
      <c r="D18">
        <v>1276064</v>
      </c>
    </row>
    <row r="19" spans="1:4" x14ac:dyDescent="0.3">
      <c r="A19" t="s">
        <v>106</v>
      </c>
      <c r="B19" t="str">
        <f t="shared" si="0"/>
        <v xml:space="preserve"> 1251006</v>
      </c>
      <c r="D19">
        <v>1251006</v>
      </c>
    </row>
    <row r="20" spans="1:4" x14ac:dyDescent="0.3">
      <c r="A20" t="s">
        <v>107</v>
      </c>
      <c r="B20" t="str">
        <f t="shared" si="0"/>
        <v xml:space="preserve"> 1268706</v>
      </c>
      <c r="D20">
        <v>1268706</v>
      </c>
    </row>
    <row r="21" spans="1:4" x14ac:dyDescent="0.3">
      <c r="A21" t="s">
        <v>108</v>
      </c>
      <c r="B21" t="str">
        <f t="shared" si="0"/>
        <v xml:space="preserve"> 307808</v>
      </c>
      <c r="D21">
        <v>307808</v>
      </c>
    </row>
    <row r="22" spans="1:4" x14ac:dyDescent="0.3">
      <c r="A22" t="s">
        <v>109</v>
      </c>
      <c r="B22" t="str">
        <f t="shared" si="0"/>
        <v xml:space="preserve"> 0</v>
      </c>
      <c r="D22">
        <v>0</v>
      </c>
    </row>
    <row r="23" spans="1:4" x14ac:dyDescent="0.3">
      <c r="A23" t="s">
        <v>110</v>
      </c>
      <c r="B23" t="str">
        <f t="shared" si="0"/>
        <v xml:space="preserve"> 1339680</v>
      </c>
      <c r="D23">
        <v>1339680</v>
      </c>
    </row>
    <row r="24" spans="1:4" x14ac:dyDescent="0.3">
      <c r="A24" t="s">
        <v>111</v>
      </c>
      <c r="B24" t="str">
        <f t="shared" si="0"/>
        <v xml:space="preserve"> 1256160</v>
      </c>
      <c r="D24">
        <v>1256160</v>
      </c>
    </row>
    <row r="25" spans="1:4" x14ac:dyDescent="0.3">
      <c r="A25" t="s">
        <v>112</v>
      </c>
      <c r="B25" t="str">
        <f t="shared" si="0"/>
        <v xml:space="preserve"> 1243711</v>
      </c>
      <c r="D25">
        <v>1243711</v>
      </c>
    </row>
    <row r="26" spans="1:4" x14ac:dyDescent="0.3">
      <c r="A26" t="s">
        <v>113</v>
      </c>
      <c r="B26" t="str">
        <f t="shared" si="0"/>
        <v xml:space="preserve"> 1282081</v>
      </c>
      <c r="D26">
        <v>1282081</v>
      </c>
    </row>
    <row r="27" spans="1:4" x14ac:dyDescent="0.3">
      <c r="A27" t="s">
        <v>114</v>
      </c>
      <c r="B27" t="str">
        <f t="shared" si="0"/>
        <v xml:space="preserve"> 1079295</v>
      </c>
      <c r="D27">
        <v>1079295</v>
      </c>
    </row>
    <row r="28" spans="1:4" x14ac:dyDescent="0.3">
      <c r="A28" t="s">
        <v>115</v>
      </c>
      <c r="B28" t="str">
        <f t="shared" si="0"/>
        <v xml:space="preserve"> 1210337</v>
      </c>
      <c r="D28">
        <v>1210337</v>
      </c>
    </row>
    <row r="29" spans="1:4" x14ac:dyDescent="0.3">
      <c r="A29" t="s">
        <v>116</v>
      </c>
      <c r="B29" t="str">
        <f t="shared" si="0"/>
        <v xml:space="preserve"> 980992</v>
      </c>
      <c r="D29">
        <v>980992</v>
      </c>
    </row>
    <row r="30" spans="1:4" x14ac:dyDescent="0.3">
      <c r="A30" t="s">
        <v>117</v>
      </c>
      <c r="B30" t="str">
        <f t="shared" si="0"/>
        <v xml:space="preserve"> 1178048</v>
      </c>
      <c r="D30">
        <v>1178048</v>
      </c>
    </row>
    <row r="31" spans="1:4" x14ac:dyDescent="0.3">
      <c r="A31" t="s">
        <v>118</v>
      </c>
      <c r="B31" t="str">
        <f t="shared" si="0"/>
        <v xml:space="preserve"> 1285248</v>
      </c>
      <c r="D31">
        <v>1285248</v>
      </c>
    </row>
    <row r="32" spans="1:4" x14ac:dyDescent="0.3">
      <c r="A32" t="s">
        <v>119</v>
      </c>
      <c r="B32" t="str">
        <f t="shared" si="0"/>
        <v xml:space="preserve"> 1276576</v>
      </c>
      <c r="D32">
        <v>1276576</v>
      </c>
    </row>
    <row r="33" spans="1:4" x14ac:dyDescent="0.3">
      <c r="A33" t="s">
        <v>120</v>
      </c>
      <c r="B33" t="str">
        <f t="shared" si="0"/>
        <v xml:space="preserve"> 1173184</v>
      </c>
      <c r="D33">
        <v>1173184</v>
      </c>
    </row>
    <row r="35" spans="1:4" x14ac:dyDescent="0.3">
      <c r="D35">
        <f>AVERAGE(D1:D33)</f>
        <v>1168337.4545454546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6612-92AB-408E-A193-3B5493DAAA7E}">
  <dimension ref="A1:D41"/>
  <sheetViews>
    <sheetView workbookViewId="0">
      <selection activeCell="D41" sqref="D41"/>
    </sheetView>
  </sheetViews>
  <sheetFormatPr baseColWidth="10" defaultRowHeight="14.4" x14ac:dyDescent="0.3"/>
  <cols>
    <col min="1" max="1" width="117.44140625" customWidth="1"/>
  </cols>
  <sheetData>
    <row r="1" spans="1:4" x14ac:dyDescent="0.3">
      <c r="A1" t="s">
        <v>121</v>
      </c>
      <c r="B1" t="str">
        <f>MID(A1, FIND(", Bytes:", A1) + 8, FIND("[B/s]", A1) - FIND(", Bytes:", A1) - 8)</f>
        <v xml:space="preserve"> 1282080</v>
      </c>
      <c r="D1">
        <v>1282080</v>
      </c>
    </row>
    <row r="2" spans="1:4" x14ac:dyDescent="0.3">
      <c r="A2" t="s">
        <v>122</v>
      </c>
      <c r="B2" t="str">
        <f>MID(A2, FIND(", Bytes:", A2) + 8, FIND("[B/s]", A2) - FIND(", Bytes:", A2) - 8)</f>
        <v xml:space="preserve"> 1282720</v>
      </c>
      <c r="D2">
        <v>1282720</v>
      </c>
    </row>
    <row r="3" spans="1:4" x14ac:dyDescent="0.3">
      <c r="A3" t="s">
        <v>123</v>
      </c>
      <c r="B3" t="str">
        <f t="shared" ref="B3:B39" si="0">MID(A3, FIND(", Bytes:", A3) + 8, FIND("[B/s]", A3) - FIND(", Bytes:", A3) - 8)</f>
        <v xml:space="preserve"> 1249632</v>
      </c>
      <c r="D3">
        <v>1249632</v>
      </c>
    </row>
    <row r="4" spans="1:4" x14ac:dyDescent="0.3">
      <c r="A4" t="s">
        <v>124</v>
      </c>
      <c r="B4" t="str">
        <f t="shared" si="0"/>
        <v xml:space="preserve"> 1247008</v>
      </c>
      <c r="D4">
        <v>1247008</v>
      </c>
    </row>
    <row r="5" spans="1:4" x14ac:dyDescent="0.3">
      <c r="A5" t="s">
        <v>125</v>
      </c>
      <c r="B5" t="str">
        <f t="shared" si="0"/>
        <v xml:space="preserve"> 1089184</v>
      </c>
      <c r="D5">
        <v>1089184</v>
      </c>
    </row>
    <row r="6" spans="1:4" x14ac:dyDescent="0.3">
      <c r="A6" t="s">
        <v>126</v>
      </c>
      <c r="B6" t="str">
        <f t="shared" si="0"/>
        <v xml:space="preserve"> 1136320</v>
      </c>
      <c r="D6">
        <v>1136320</v>
      </c>
    </row>
    <row r="7" spans="1:4" x14ac:dyDescent="0.3">
      <c r="A7" t="s">
        <v>127</v>
      </c>
      <c r="B7" t="str">
        <f t="shared" si="0"/>
        <v xml:space="preserve"> 1270464</v>
      </c>
      <c r="D7">
        <v>1270464</v>
      </c>
    </row>
    <row r="8" spans="1:4" x14ac:dyDescent="0.3">
      <c r="A8" t="s">
        <v>128</v>
      </c>
      <c r="B8" t="str">
        <f t="shared" si="0"/>
        <v xml:space="preserve"> 1250496</v>
      </c>
      <c r="D8">
        <v>1250496</v>
      </c>
    </row>
    <row r="9" spans="1:4" x14ac:dyDescent="0.3">
      <c r="A9" t="s">
        <v>129</v>
      </c>
      <c r="B9" t="str">
        <f t="shared" si="0"/>
        <v xml:space="preserve"> 1286112</v>
      </c>
      <c r="D9">
        <v>1286112</v>
      </c>
    </row>
    <row r="10" spans="1:4" x14ac:dyDescent="0.3">
      <c r="A10" t="s">
        <v>130</v>
      </c>
      <c r="B10" t="str">
        <f t="shared" si="0"/>
        <v xml:space="preserve"> 1374240</v>
      </c>
      <c r="D10">
        <v>1374240</v>
      </c>
    </row>
    <row r="11" spans="1:4" x14ac:dyDescent="0.3">
      <c r="A11" t="s">
        <v>131</v>
      </c>
      <c r="B11" t="str">
        <f t="shared" si="0"/>
        <v xml:space="preserve"> 1365344</v>
      </c>
      <c r="D11">
        <v>1365344</v>
      </c>
    </row>
    <row r="12" spans="1:4" x14ac:dyDescent="0.3">
      <c r="A12" t="s">
        <v>132</v>
      </c>
      <c r="B12" t="str">
        <f t="shared" si="0"/>
        <v xml:space="preserve"> 1360640</v>
      </c>
      <c r="D12">
        <v>1360640</v>
      </c>
    </row>
    <row r="13" spans="1:4" x14ac:dyDescent="0.3">
      <c r="A13" t="s">
        <v>133</v>
      </c>
      <c r="B13" t="str">
        <f t="shared" si="0"/>
        <v xml:space="preserve"> 1359552</v>
      </c>
      <c r="D13">
        <v>1359552</v>
      </c>
    </row>
    <row r="14" spans="1:4" x14ac:dyDescent="0.3">
      <c r="A14" t="s">
        <v>134</v>
      </c>
      <c r="B14" t="str">
        <f t="shared" si="0"/>
        <v xml:space="preserve"> 1463744</v>
      </c>
      <c r="D14">
        <v>1463744</v>
      </c>
    </row>
    <row r="15" spans="1:4" x14ac:dyDescent="0.3">
      <c r="A15" t="s">
        <v>135</v>
      </c>
      <c r="B15" t="str">
        <f t="shared" si="0"/>
        <v xml:space="preserve"> 1268864</v>
      </c>
      <c r="D15">
        <v>1268864</v>
      </c>
    </row>
    <row r="16" spans="1:4" x14ac:dyDescent="0.3">
      <c r="A16" t="s">
        <v>136</v>
      </c>
      <c r="B16" t="str">
        <f t="shared" si="0"/>
        <v xml:space="preserve"> 1359328</v>
      </c>
      <c r="D16">
        <v>1359328</v>
      </c>
    </row>
    <row r="17" spans="1:4" x14ac:dyDescent="0.3">
      <c r="A17" t="s">
        <v>137</v>
      </c>
      <c r="B17" t="str">
        <f t="shared" si="0"/>
        <v xml:space="preserve"> 1382304</v>
      </c>
      <c r="D17">
        <v>1382304</v>
      </c>
    </row>
    <row r="18" spans="1:4" x14ac:dyDescent="0.3">
      <c r="A18" t="s">
        <v>138</v>
      </c>
      <c r="B18" t="str">
        <f t="shared" si="0"/>
        <v xml:space="preserve"> 1352000</v>
      </c>
      <c r="D18">
        <v>1352000</v>
      </c>
    </row>
    <row r="19" spans="1:4" x14ac:dyDescent="0.3">
      <c r="A19" t="s">
        <v>139</v>
      </c>
      <c r="B19" t="str">
        <f t="shared" si="0"/>
        <v xml:space="preserve"> 1373184</v>
      </c>
      <c r="D19">
        <v>1373184</v>
      </c>
    </row>
    <row r="20" spans="1:4" x14ac:dyDescent="0.3">
      <c r="A20" t="s">
        <v>140</v>
      </c>
      <c r="B20" t="str">
        <f t="shared" si="0"/>
        <v xml:space="preserve"> 1343808</v>
      </c>
      <c r="D20">
        <v>1343808</v>
      </c>
    </row>
    <row r="21" spans="1:4" x14ac:dyDescent="0.3">
      <c r="A21" t="s">
        <v>141</v>
      </c>
      <c r="B21" t="str">
        <f t="shared" si="0"/>
        <v xml:space="preserve"> 1261024</v>
      </c>
      <c r="D21">
        <v>1261024</v>
      </c>
    </row>
    <row r="22" spans="1:4" x14ac:dyDescent="0.3">
      <c r="A22" t="s">
        <v>142</v>
      </c>
      <c r="B22" t="str">
        <f t="shared" si="0"/>
        <v xml:space="preserve"> 984288</v>
      </c>
      <c r="D22">
        <v>984288</v>
      </c>
    </row>
    <row r="23" spans="1:4" x14ac:dyDescent="0.3">
      <c r="A23" t="s">
        <v>143</v>
      </c>
      <c r="B23" t="str">
        <f t="shared" si="0"/>
        <v xml:space="preserve"> 1248416</v>
      </c>
      <c r="D23">
        <v>1248416</v>
      </c>
    </row>
    <row r="24" spans="1:4" x14ac:dyDescent="0.3">
      <c r="A24" t="s">
        <v>144</v>
      </c>
      <c r="B24" t="str">
        <f t="shared" si="0"/>
        <v xml:space="preserve"> 1255968</v>
      </c>
      <c r="D24">
        <v>1255968</v>
      </c>
    </row>
    <row r="25" spans="1:4" x14ac:dyDescent="0.3">
      <c r="A25" t="s">
        <v>145</v>
      </c>
      <c r="B25" t="str">
        <f t="shared" si="0"/>
        <v xml:space="preserve"> 1160096</v>
      </c>
      <c r="D25">
        <v>1160096</v>
      </c>
    </row>
    <row r="26" spans="1:4" x14ac:dyDescent="0.3">
      <c r="A26" t="s">
        <v>146</v>
      </c>
      <c r="B26" t="str">
        <f t="shared" si="0"/>
        <v xml:space="preserve"> 1257824</v>
      </c>
      <c r="D26">
        <v>1257824</v>
      </c>
    </row>
    <row r="27" spans="1:4" x14ac:dyDescent="0.3">
      <c r="A27" t="s">
        <v>147</v>
      </c>
      <c r="B27" t="str">
        <f t="shared" si="0"/>
        <v xml:space="preserve"> 1129472</v>
      </c>
      <c r="D27">
        <v>1129472</v>
      </c>
    </row>
    <row r="28" spans="1:4" x14ac:dyDescent="0.3">
      <c r="A28" t="s">
        <v>148</v>
      </c>
      <c r="B28" t="str">
        <f t="shared" si="0"/>
        <v xml:space="preserve"> 1238912</v>
      </c>
      <c r="D28">
        <v>1238912</v>
      </c>
    </row>
    <row r="29" spans="1:4" x14ac:dyDescent="0.3">
      <c r="A29" t="s">
        <v>149</v>
      </c>
      <c r="B29" t="str">
        <f t="shared" si="0"/>
        <v xml:space="preserve"> 1208928</v>
      </c>
      <c r="D29">
        <v>1208928</v>
      </c>
    </row>
    <row r="30" spans="1:4" x14ac:dyDescent="0.3">
      <c r="A30" t="s">
        <v>150</v>
      </c>
      <c r="B30" t="str">
        <f t="shared" si="0"/>
        <v xml:space="preserve"> 1166976</v>
      </c>
      <c r="D30">
        <v>1166976</v>
      </c>
    </row>
    <row r="31" spans="1:4" x14ac:dyDescent="0.3">
      <c r="A31" t="s">
        <v>151</v>
      </c>
      <c r="B31" t="str">
        <f t="shared" si="0"/>
        <v xml:space="preserve"> 1097504</v>
      </c>
      <c r="D31">
        <v>1097504</v>
      </c>
    </row>
    <row r="32" spans="1:4" x14ac:dyDescent="0.3">
      <c r="A32" t="s">
        <v>152</v>
      </c>
      <c r="B32" t="str">
        <f t="shared" si="0"/>
        <v xml:space="preserve"> 1228928</v>
      </c>
      <c r="D32">
        <v>1228928</v>
      </c>
    </row>
    <row r="33" spans="1:4" x14ac:dyDescent="0.3">
      <c r="A33" t="s">
        <v>153</v>
      </c>
      <c r="B33" t="str">
        <f t="shared" si="0"/>
        <v xml:space="preserve"> 1296384</v>
      </c>
      <c r="D33">
        <v>1296384</v>
      </c>
    </row>
    <row r="34" spans="1:4" x14ac:dyDescent="0.3">
      <c r="A34" t="s">
        <v>154</v>
      </c>
      <c r="B34" t="str">
        <f t="shared" si="0"/>
        <v xml:space="preserve"> 1234752</v>
      </c>
      <c r="D34">
        <v>1234752</v>
      </c>
    </row>
    <row r="35" spans="1:4" x14ac:dyDescent="0.3">
      <c r="A35" t="s">
        <v>155</v>
      </c>
      <c r="B35" t="str">
        <f t="shared" si="0"/>
        <v xml:space="preserve"> 1208672</v>
      </c>
      <c r="D35">
        <v>1208672</v>
      </c>
    </row>
    <row r="36" spans="1:4" x14ac:dyDescent="0.3">
      <c r="A36" t="s">
        <v>156</v>
      </c>
      <c r="B36" t="str">
        <f t="shared" si="0"/>
        <v xml:space="preserve"> 1278464</v>
      </c>
      <c r="D36">
        <v>1278464</v>
      </c>
    </row>
    <row r="37" spans="1:4" x14ac:dyDescent="0.3">
      <c r="A37" t="s">
        <v>157</v>
      </c>
      <c r="B37" t="str">
        <f t="shared" si="0"/>
        <v xml:space="preserve"> 1217952</v>
      </c>
      <c r="D37">
        <v>1217952</v>
      </c>
    </row>
    <row r="38" spans="1:4" x14ac:dyDescent="0.3">
      <c r="A38" t="s">
        <v>158</v>
      </c>
      <c r="B38" t="str">
        <f t="shared" si="0"/>
        <v xml:space="preserve"> 1450944</v>
      </c>
      <c r="D38">
        <v>1450944</v>
      </c>
    </row>
    <row r="39" spans="1:4" x14ac:dyDescent="0.3">
      <c r="A39" t="s">
        <v>159</v>
      </c>
      <c r="B39" t="str">
        <f t="shared" si="0"/>
        <v xml:space="preserve"> 1341696</v>
      </c>
      <c r="D39">
        <v>1341696</v>
      </c>
    </row>
    <row r="41" spans="1:4" x14ac:dyDescent="0.3">
      <c r="D41">
        <f>AVERAGE(D1:D39)</f>
        <v>1265749.3333333333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2F30-9EC1-4308-B43F-826B1A18520D}">
  <dimension ref="A1:E28"/>
  <sheetViews>
    <sheetView workbookViewId="0">
      <selection activeCell="F12" sqref="F12"/>
    </sheetView>
  </sheetViews>
  <sheetFormatPr baseColWidth="10" defaultRowHeight="14.4" x14ac:dyDescent="0.3"/>
  <cols>
    <col min="1" max="1" width="115.44140625" customWidth="1"/>
  </cols>
  <sheetData>
    <row r="1" spans="1:5" x14ac:dyDescent="0.3">
      <c r="A1" t="s">
        <v>160</v>
      </c>
      <c r="C1" t="str">
        <f t="shared" ref="C1:C25" si="0">MID(A1, FIND(", Bytes:", A1) + 8, FIND("[B/s]", A1) - FIND(", Bytes:", A1) - 8)</f>
        <v xml:space="preserve"> 1146158</v>
      </c>
      <c r="E1">
        <v>1146158</v>
      </c>
    </row>
    <row r="2" spans="1:5" x14ac:dyDescent="0.3">
      <c r="A2" t="s">
        <v>161</v>
      </c>
      <c r="C2" t="str">
        <f t="shared" si="0"/>
        <v xml:space="preserve"> 1286173</v>
      </c>
      <c r="E2">
        <v>1286173</v>
      </c>
    </row>
    <row r="3" spans="1:5" x14ac:dyDescent="0.3">
      <c r="A3" t="s">
        <v>162</v>
      </c>
      <c r="C3" t="str">
        <f t="shared" si="0"/>
        <v xml:space="preserve"> 1145091</v>
      </c>
      <c r="E3">
        <v>1145091</v>
      </c>
    </row>
    <row r="4" spans="1:5" x14ac:dyDescent="0.3">
      <c r="A4" t="s">
        <v>163</v>
      </c>
      <c r="C4" t="str">
        <f t="shared" si="0"/>
        <v xml:space="preserve"> 1350141</v>
      </c>
      <c r="E4">
        <v>1350141</v>
      </c>
    </row>
    <row r="5" spans="1:5" x14ac:dyDescent="0.3">
      <c r="A5" t="s">
        <v>164</v>
      </c>
      <c r="C5" t="str">
        <f t="shared" si="0"/>
        <v xml:space="preserve"> 1249835</v>
      </c>
      <c r="E5">
        <v>1249835</v>
      </c>
    </row>
    <row r="6" spans="1:5" x14ac:dyDescent="0.3">
      <c r="A6" t="s">
        <v>165</v>
      </c>
      <c r="C6" t="str">
        <f t="shared" si="0"/>
        <v xml:space="preserve"> 1302526</v>
      </c>
      <c r="E6">
        <v>1302526</v>
      </c>
    </row>
    <row r="7" spans="1:5" x14ac:dyDescent="0.3">
      <c r="A7" t="s">
        <v>166</v>
      </c>
      <c r="C7" t="str">
        <f t="shared" si="0"/>
        <v xml:space="preserve"> 1199678</v>
      </c>
      <c r="E7">
        <v>1199678</v>
      </c>
    </row>
    <row r="8" spans="1:5" x14ac:dyDescent="0.3">
      <c r="A8" t="s">
        <v>167</v>
      </c>
      <c r="C8" t="str">
        <f t="shared" si="0"/>
        <v xml:space="preserve"> 1251609</v>
      </c>
      <c r="E8">
        <v>1251609</v>
      </c>
    </row>
    <row r="9" spans="1:5" x14ac:dyDescent="0.3">
      <c r="A9" t="s">
        <v>168</v>
      </c>
      <c r="C9" t="str">
        <f>MID(A9, FIND(", Bytes:", A9) + 8, FIND("[B/s]", A9) - FIND(", Bytes:", A9) - 8)</f>
        <v xml:space="preserve"> 1199359</v>
      </c>
      <c r="E9">
        <v>1199359</v>
      </c>
    </row>
    <row r="10" spans="1:5" x14ac:dyDescent="0.3">
      <c r="A10" t="s">
        <v>169</v>
      </c>
      <c r="C10" t="str">
        <f t="shared" si="0"/>
        <v xml:space="preserve"> 929117</v>
      </c>
      <c r="E10">
        <v>929117</v>
      </c>
    </row>
    <row r="11" spans="1:5" x14ac:dyDescent="0.3">
      <c r="A11" t="s">
        <v>170</v>
      </c>
      <c r="C11" t="str">
        <f t="shared" si="0"/>
        <v xml:space="preserve"> 1394123</v>
      </c>
      <c r="E11">
        <v>1394123</v>
      </c>
    </row>
    <row r="12" spans="1:5" x14ac:dyDescent="0.3">
      <c r="A12" t="s">
        <v>171</v>
      </c>
      <c r="C12" t="str">
        <f t="shared" si="0"/>
        <v xml:space="preserve"> 1375477</v>
      </c>
      <c r="E12">
        <v>1375477</v>
      </c>
    </row>
    <row r="13" spans="1:5" x14ac:dyDescent="0.3">
      <c r="A13" t="s">
        <v>172</v>
      </c>
      <c r="C13" t="str">
        <f t="shared" si="0"/>
        <v xml:space="preserve"> 1238672</v>
      </c>
      <c r="E13">
        <v>1238672</v>
      </c>
    </row>
    <row r="14" spans="1:5" x14ac:dyDescent="0.3">
      <c r="A14" t="s">
        <v>173</v>
      </c>
      <c r="C14" t="str">
        <f t="shared" si="0"/>
        <v xml:space="preserve"> 1099706</v>
      </c>
      <c r="E14">
        <v>1099706</v>
      </c>
    </row>
    <row r="15" spans="1:5" x14ac:dyDescent="0.3">
      <c r="A15" t="s">
        <v>174</v>
      </c>
      <c r="C15" t="str">
        <f t="shared" si="0"/>
        <v xml:space="preserve"> 1193120</v>
      </c>
      <c r="E15">
        <v>1193120</v>
      </c>
    </row>
    <row r="16" spans="1:5" x14ac:dyDescent="0.3">
      <c r="A16" t="s">
        <v>175</v>
      </c>
      <c r="C16" t="str">
        <f t="shared" si="0"/>
        <v xml:space="preserve"> 1260918</v>
      </c>
      <c r="E16">
        <v>1260918</v>
      </c>
    </row>
    <row r="17" spans="1:5" x14ac:dyDescent="0.3">
      <c r="A17" t="s">
        <v>176</v>
      </c>
      <c r="C17" t="str">
        <f t="shared" si="0"/>
        <v xml:space="preserve"> 1153179</v>
      </c>
      <c r="E17">
        <v>1153179</v>
      </c>
    </row>
    <row r="18" spans="1:5" x14ac:dyDescent="0.3">
      <c r="A18" t="s">
        <v>177</v>
      </c>
      <c r="C18" t="str">
        <f t="shared" si="0"/>
        <v xml:space="preserve"> 1191092</v>
      </c>
      <c r="E18">
        <v>1191092</v>
      </c>
    </row>
    <row r="19" spans="1:5" x14ac:dyDescent="0.3">
      <c r="A19" t="s">
        <v>178</v>
      </c>
      <c r="C19" t="str">
        <f t="shared" si="0"/>
        <v xml:space="preserve"> 1203865</v>
      </c>
      <c r="E19">
        <v>1203865</v>
      </c>
    </row>
    <row r="20" spans="1:5" x14ac:dyDescent="0.3">
      <c r="A20" t="s">
        <v>179</v>
      </c>
      <c r="C20" t="str">
        <f t="shared" si="0"/>
        <v xml:space="preserve"> 1213036</v>
      </c>
      <c r="E20">
        <v>1213036</v>
      </c>
    </row>
    <row r="21" spans="1:5" x14ac:dyDescent="0.3">
      <c r="A21" t="s">
        <v>180</v>
      </c>
      <c r="C21" t="str">
        <f t="shared" si="0"/>
        <v xml:space="preserve"> 1191909</v>
      </c>
      <c r="E21">
        <v>1191909</v>
      </c>
    </row>
    <row r="22" spans="1:5" x14ac:dyDescent="0.3">
      <c r="A22" t="s">
        <v>181</v>
      </c>
      <c r="C22" t="str">
        <f t="shared" si="0"/>
        <v xml:space="preserve"> 1101393</v>
      </c>
      <c r="E22">
        <v>1101393</v>
      </c>
    </row>
    <row r="23" spans="1:5" x14ac:dyDescent="0.3">
      <c r="A23" t="s">
        <v>182</v>
      </c>
      <c r="C23" t="str">
        <f t="shared" si="0"/>
        <v xml:space="preserve"> 1037178</v>
      </c>
      <c r="E23">
        <v>1037178</v>
      </c>
    </row>
    <row r="24" spans="1:5" x14ac:dyDescent="0.3">
      <c r="A24" t="s">
        <v>183</v>
      </c>
      <c r="C24" t="str">
        <f t="shared" si="0"/>
        <v xml:space="preserve"> 1189199</v>
      </c>
      <c r="E24">
        <v>1189199</v>
      </c>
    </row>
    <row r="25" spans="1:5" x14ac:dyDescent="0.3">
      <c r="A25" t="s">
        <v>184</v>
      </c>
      <c r="C25" t="str">
        <f t="shared" si="0"/>
        <v xml:space="preserve"> 1076704</v>
      </c>
      <c r="E25">
        <v>1076704</v>
      </c>
    </row>
    <row r="28" spans="1:5" x14ac:dyDescent="0.3">
      <c r="E28">
        <f>AVERAGE(E1:E25)</f>
        <v>1199170.32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52DB-87C1-4653-B4C3-53DFEC3B7142}">
  <dimension ref="A1:D64"/>
  <sheetViews>
    <sheetView topLeftCell="A22" workbookViewId="0">
      <selection activeCell="A69" sqref="A69"/>
    </sheetView>
  </sheetViews>
  <sheetFormatPr baseColWidth="10" defaultRowHeight="14.4" x14ac:dyDescent="0.3"/>
  <cols>
    <col min="1" max="1" width="117.44140625" customWidth="1"/>
  </cols>
  <sheetData>
    <row r="1" spans="1:4" x14ac:dyDescent="0.3">
      <c r="A1" t="s">
        <v>329</v>
      </c>
      <c r="B1" t="str">
        <f>MID(A1, FIND(", Bytes:", A1) + 8, FIND("[B/s]", A1) - FIND(", Bytes:", A1) - 8)</f>
        <v xml:space="preserve"> 1164593</v>
      </c>
      <c r="D1">
        <v>1164593</v>
      </c>
    </row>
    <row r="2" spans="1:4" x14ac:dyDescent="0.3">
      <c r="A2" t="s">
        <v>330</v>
      </c>
      <c r="B2" t="str">
        <f t="shared" ref="B2:B62" si="0">MID(A2, FIND(", Bytes:", A2) + 8, FIND("[B/s]", A2) - FIND(", Bytes:", A2) - 8)</f>
        <v xml:space="preserve"> 1233729</v>
      </c>
      <c r="D2">
        <v>1233729</v>
      </c>
    </row>
    <row r="3" spans="1:4" x14ac:dyDescent="0.3">
      <c r="A3" t="s">
        <v>331</v>
      </c>
      <c r="B3" t="str">
        <f t="shared" si="0"/>
        <v xml:space="preserve"> 1179100</v>
      </c>
      <c r="D3">
        <v>1179100</v>
      </c>
    </row>
    <row r="4" spans="1:4" x14ac:dyDescent="0.3">
      <c r="A4" t="s">
        <v>332</v>
      </c>
      <c r="B4" t="str">
        <f t="shared" si="0"/>
        <v xml:space="preserve"> 1290189</v>
      </c>
      <c r="D4">
        <v>1290189</v>
      </c>
    </row>
    <row r="5" spans="1:4" x14ac:dyDescent="0.3">
      <c r="A5" t="s">
        <v>333</v>
      </c>
      <c r="B5" t="str">
        <f t="shared" si="0"/>
        <v xml:space="preserve"> 1354427</v>
      </c>
      <c r="D5">
        <v>1354427</v>
      </c>
    </row>
    <row r="6" spans="1:4" x14ac:dyDescent="0.3">
      <c r="A6" t="s">
        <v>334</v>
      </c>
      <c r="B6" t="str">
        <f t="shared" si="0"/>
        <v xml:space="preserve"> 1318028</v>
      </c>
      <c r="D6">
        <v>1318028</v>
      </c>
    </row>
    <row r="7" spans="1:4" x14ac:dyDescent="0.3">
      <c r="A7" t="s">
        <v>335</v>
      </c>
      <c r="B7" t="str">
        <f t="shared" si="0"/>
        <v xml:space="preserve"> 1386141</v>
      </c>
      <c r="D7">
        <v>1386141</v>
      </c>
    </row>
    <row r="8" spans="1:4" x14ac:dyDescent="0.3">
      <c r="A8" t="s">
        <v>336</v>
      </c>
      <c r="B8" t="str">
        <f t="shared" si="0"/>
        <v xml:space="preserve"> 1285022</v>
      </c>
      <c r="D8">
        <v>1285022</v>
      </c>
    </row>
    <row r="9" spans="1:4" x14ac:dyDescent="0.3">
      <c r="A9" t="s">
        <v>337</v>
      </c>
      <c r="B9" t="str">
        <f t="shared" si="0"/>
        <v xml:space="preserve"> 1243334</v>
      </c>
      <c r="D9">
        <v>1243334</v>
      </c>
    </row>
    <row r="10" spans="1:4" x14ac:dyDescent="0.3">
      <c r="A10" t="s">
        <v>338</v>
      </c>
      <c r="B10" t="str">
        <f t="shared" si="0"/>
        <v xml:space="preserve"> 1315581</v>
      </c>
      <c r="D10">
        <v>1315581</v>
      </c>
    </row>
    <row r="11" spans="1:4" x14ac:dyDescent="0.3">
      <c r="A11" t="s">
        <v>339</v>
      </c>
      <c r="B11" t="str">
        <f t="shared" si="0"/>
        <v xml:space="preserve"> 1260595</v>
      </c>
      <c r="D11">
        <v>1260595</v>
      </c>
    </row>
    <row r="12" spans="1:4" x14ac:dyDescent="0.3">
      <c r="A12" t="s">
        <v>340</v>
      </c>
      <c r="B12" t="str">
        <f t="shared" si="0"/>
        <v xml:space="preserve"> 1029070</v>
      </c>
      <c r="D12">
        <v>1029070</v>
      </c>
    </row>
    <row r="13" spans="1:4" x14ac:dyDescent="0.3">
      <c r="A13" t="s">
        <v>341</v>
      </c>
      <c r="B13" t="str">
        <f t="shared" si="0"/>
        <v xml:space="preserve"> 1342523</v>
      </c>
      <c r="D13">
        <v>1342523</v>
      </c>
    </row>
    <row r="14" spans="1:4" x14ac:dyDescent="0.3">
      <c r="A14" t="s">
        <v>342</v>
      </c>
      <c r="B14" t="str">
        <f t="shared" si="0"/>
        <v xml:space="preserve"> 1300805</v>
      </c>
      <c r="D14">
        <v>1300805</v>
      </c>
    </row>
    <row r="15" spans="1:4" x14ac:dyDescent="0.3">
      <c r="A15" t="s">
        <v>343</v>
      </c>
      <c r="B15" t="str">
        <f t="shared" si="0"/>
        <v xml:space="preserve"> 1427563</v>
      </c>
      <c r="D15">
        <v>1427563</v>
      </c>
    </row>
    <row r="16" spans="1:4" x14ac:dyDescent="0.3">
      <c r="A16" t="s">
        <v>344</v>
      </c>
      <c r="B16" t="str">
        <f t="shared" si="0"/>
        <v xml:space="preserve"> 1389785</v>
      </c>
      <c r="D16">
        <v>1389785</v>
      </c>
    </row>
    <row r="17" spans="1:4" x14ac:dyDescent="0.3">
      <c r="A17" t="s">
        <v>345</v>
      </c>
      <c r="B17" t="str">
        <f t="shared" si="0"/>
        <v xml:space="preserve"> 1406624</v>
      </c>
      <c r="D17">
        <v>1406624</v>
      </c>
    </row>
    <row r="18" spans="1:4" x14ac:dyDescent="0.3">
      <c r="A18" t="s">
        <v>346</v>
      </c>
      <c r="B18" t="str">
        <f t="shared" si="0"/>
        <v xml:space="preserve"> 1326254</v>
      </c>
      <c r="D18">
        <v>1326254</v>
      </c>
    </row>
    <row r="19" spans="1:4" x14ac:dyDescent="0.3">
      <c r="A19" t="s">
        <v>347</v>
      </c>
      <c r="B19" t="str">
        <f t="shared" si="0"/>
        <v xml:space="preserve"> 1532326</v>
      </c>
      <c r="D19">
        <v>1532326</v>
      </c>
    </row>
    <row r="20" spans="1:4" x14ac:dyDescent="0.3">
      <c r="A20" t="s">
        <v>348</v>
      </c>
      <c r="B20" t="str">
        <f t="shared" si="0"/>
        <v xml:space="preserve"> 1433954</v>
      </c>
      <c r="D20">
        <v>1433954</v>
      </c>
    </row>
    <row r="21" spans="1:4" x14ac:dyDescent="0.3">
      <c r="A21" t="s">
        <v>349</v>
      </c>
      <c r="B21" t="str">
        <f t="shared" si="0"/>
        <v xml:space="preserve"> 1435124</v>
      </c>
      <c r="D21">
        <v>1435124</v>
      </c>
    </row>
    <row r="22" spans="1:4" x14ac:dyDescent="0.3">
      <c r="A22" t="s">
        <v>350</v>
      </c>
      <c r="B22" t="str">
        <f t="shared" si="0"/>
        <v xml:space="preserve"> 1523538</v>
      </c>
      <c r="D22">
        <v>1523538</v>
      </c>
    </row>
    <row r="23" spans="1:4" x14ac:dyDescent="0.3">
      <c r="A23" t="s">
        <v>351</v>
      </c>
      <c r="B23" t="str">
        <f t="shared" si="0"/>
        <v xml:space="preserve"> 1438555</v>
      </c>
      <c r="D23">
        <v>1438555</v>
      </c>
    </row>
    <row r="24" spans="1:4" x14ac:dyDescent="0.3">
      <c r="A24" t="s">
        <v>352</v>
      </c>
      <c r="B24" t="str">
        <f t="shared" si="0"/>
        <v xml:space="preserve"> 1524541</v>
      </c>
      <c r="D24">
        <v>1524541</v>
      </c>
    </row>
    <row r="25" spans="1:4" x14ac:dyDescent="0.3">
      <c r="A25" t="s">
        <v>353</v>
      </c>
      <c r="B25" t="str">
        <f t="shared" si="0"/>
        <v xml:space="preserve"> 1457731</v>
      </c>
      <c r="D25">
        <v>1457731</v>
      </c>
    </row>
    <row r="26" spans="1:4" x14ac:dyDescent="0.3">
      <c r="A26" t="s">
        <v>354</v>
      </c>
      <c r="B26" t="str">
        <f t="shared" si="0"/>
        <v xml:space="preserve"> 1528329</v>
      </c>
      <c r="D26">
        <v>1528329</v>
      </c>
    </row>
    <row r="27" spans="1:4" x14ac:dyDescent="0.3">
      <c r="A27" t="s">
        <v>355</v>
      </c>
      <c r="B27" t="str">
        <f t="shared" si="0"/>
        <v xml:space="preserve"> 1538394</v>
      </c>
      <c r="D27">
        <v>1538394</v>
      </c>
    </row>
    <row r="28" spans="1:4" x14ac:dyDescent="0.3">
      <c r="A28" t="s">
        <v>356</v>
      </c>
      <c r="B28" t="str">
        <f t="shared" si="0"/>
        <v xml:space="preserve"> 1392038</v>
      </c>
      <c r="D28">
        <v>1392038</v>
      </c>
    </row>
    <row r="29" spans="1:4" x14ac:dyDescent="0.3">
      <c r="A29" t="s">
        <v>357</v>
      </c>
      <c r="B29" t="str">
        <f t="shared" si="0"/>
        <v xml:space="preserve"> 1490965</v>
      </c>
      <c r="D29">
        <v>1490965</v>
      </c>
    </row>
    <row r="30" spans="1:4" x14ac:dyDescent="0.3">
      <c r="A30" t="s">
        <v>358</v>
      </c>
      <c r="B30" t="str">
        <f t="shared" si="0"/>
        <v xml:space="preserve"> 1358063</v>
      </c>
      <c r="D30">
        <v>1358063</v>
      </c>
    </row>
    <row r="31" spans="1:4" x14ac:dyDescent="0.3">
      <c r="A31" t="s">
        <v>359</v>
      </c>
      <c r="B31" t="str">
        <f t="shared" si="0"/>
        <v xml:space="preserve"> 1340441</v>
      </c>
      <c r="D31">
        <v>1340441</v>
      </c>
    </row>
    <row r="32" spans="1:4" x14ac:dyDescent="0.3">
      <c r="A32" t="s">
        <v>360</v>
      </c>
      <c r="B32" t="str">
        <f t="shared" si="0"/>
        <v xml:space="preserve"> 1398292</v>
      </c>
      <c r="D32">
        <v>1398292</v>
      </c>
    </row>
    <row r="33" spans="1:4" x14ac:dyDescent="0.3">
      <c r="A33" t="s">
        <v>361</v>
      </c>
      <c r="B33" t="str">
        <f t="shared" si="0"/>
        <v xml:space="preserve"> 1035947</v>
      </c>
      <c r="D33">
        <v>1035947</v>
      </c>
    </row>
    <row r="34" spans="1:4" x14ac:dyDescent="0.3">
      <c r="A34" t="s">
        <v>362</v>
      </c>
      <c r="B34" t="str">
        <f t="shared" si="0"/>
        <v xml:space="preserve"> 1134095</v>
      </c>
      <c r="D34">
        <v>1134095</v>
      </c>
    </row>
    <row r="35" spans="1:4" x14ac:dyDescent="0.3">
      <c r="A35" t="s">
        <v>363</v>
      </c>
      <c r="B35" t="str">
        <f t="shared" si="0"/>
        <v xml:space="preserve"> 971394</v>
      </c>
      <c r="D35">
        <v>971394</v>
      </c>
    </row>
    <row r="36" spans="1:4" x14ac:dyDescent="0.3">
      <c r="A36" t="s">
        <v>364</v>
      </c>
      <c r="B36" t="str">
        <f t="shared" si="0"/>
        <v xml:space="preserve"> 1081100</v>
      </c>
      <c r="D36">
        <v>1081100</v>
      </c>
    </row>
    <row r="37" spans="1:4" x14ac:dyDescent="0.3">
      <c r="A37" t="s">
        <v>365</v>
      </c>
      <c r="B37" t="str">
        <f t="shared" si="0"/>
        <v xml:space="preserve"> 1293943</v>
      </c>
      <c r="D37">
        <v>1293943</v>
      </c>
    </row>
    <row r="38" spans="1:4" x14ac:dyDescent="0.3">
      <c r="A38" t="s">
        <v>366</v>
      </c>
      <c r="B38" t="str">
        <f t="shared" si="0"/>
        <v xml:space="preserve"> 1346942</v>
      </c>
      <c r="D38">
        <v>1346942</v>
      </c>
    </row>
    <row r="39" spans="1:4" x14ac:dyDescent="0.3">
      <c r="A39" t="s">
        <v>367</v>
      </c>
      <c r="B39" t="str">
        <f t="shared" si="0"/>
        <v xml:space="preserve"> 1474935</v>
      </c>
      <c r="D39">
        <v>1474935</v>
      </c>
    </row>
    <row r="40" spans="1:4" x14ac:dyDescent="0.3">
      <c r="A40" t="s">
        <v>368</v>
      </c>
      <c r="B40" t="str">
        <f t="shared" si="0"/>
        <v xml:space="preserve"> 1374340</v>
      </c>
      <c r="D40">
        <v>1374340</v>
      </c>
    </row>
    <row r="41" spans="1:4" x14ac:dyDescent="0.3">
      <c r="A41" t="s">
        <v>369</v>
      </c>
      <c r="B41" t="str">
        <f t="shared" si="0"/>
        <v xml:space="preserve"> 1343910</v>
      </c>
      <c r="D41">
        <v>1343910</v>
      </c>
    </row>
    <row r="42" spans="1:4" x14ac:dyDescent="0.3">
      <c r="A42" t="s">
        <v>370</v>
      </c>
      <c r="B42" t="str">
        <f t="shared" si="0"/>
        <v xml:space="preserve"> 1258623</v>
      </c>
      <c r="D42">
        <v>1258623</v>
      </c>
    </row>
    <row r="43" spans="1:4" x14ac:dyDescent="0.3">
      <c r="A43" t="s">
        <v>371</v>
      </c>
      <c r="B43" t="str">
        <f t="shared" si="0"/>
        <v xml:space="preserve"> 1386255</v>
      </c>
      <c r="D43">
        <v>1386255</v>
      </c>
    </row>
    <row r="44" spans="1:4" x14ac:dyDescent="0.3">
      <c r="A44" t="s">
        <v>372</v>
      </c>
      <c r="B44" t="str">
        <f t="shared" si="0"/>
        <v xml:space="preserve"> 1248718</v>
      </c>
      <c r="D44">
        <v>1248718</v>
      </c>
    </row>
    <row r="45" spans="1:4" x14ac:dyDescent="0.3">
      <c r="A45" t="s">
        <v>373</v>
      </c>
      <c r="B45" t="str">
        <f t="shared" si="0"/>
        <v xml:space="preserve"> 1259288</v>
      </c>
      <c r="D45">
        <v>1259288</v>
      </c>
    </row>
    <row r="46" spans="1:4" x14ac:dyDescent="0.3">
      <c r="A46" t="s">
        <v>374</v>
      </c>
      <c r="B46" t="str">
        <f t="shared" si="0"/>
        <v xml:space="preserve"> 1286743</v>
      </c>
      <c r="D46">
        <v>1286743</v>
      </c>
    </row>
    <row r="47" spans="1:4" x14ac:dyDescent="0.3">
      <c r="A47" t="s">
        <v>375</v>
      </c>
      <c r="B47" t="str">
        <f t="shared" si="0"/>
        <v xml:space="preserve"> 1214154</v>
      </c>
      <c r="D47">
        <v>1214154</v>
      </c>
    </row>
    <row r="48" spans="1:4" x14ac:dyDescent="0.3">
      <c r="A48" t="s">
        <v>376</v>
      </c>
      <c r="B48" t="str">
        <f t="shared" si="0"/>
        <v xml:space="preserve"> 1340764</v>
      </c>
      <c r="D48">
        <v>1340764</v>
      </c>
    </row>
    <row r="49" spans="1:4" x14ac:dyDescent="0.3">
      <c r="A49" t="s">
        <v>377</v>
      </c>
      <c r="B49" t="str">
        <f t="shared" si="0"/>
        <v xml:space="preserve"> 1419835</v>
      </c>
      <c r="D49">
        <v>1419835</v>
      </c>
    </row>
    <row r="50" spans="1:4" x14ac:dyDescent="0.3">
      <c r="A50" t="s">
        <v>378</v>
      </c>
      <c r="B50" t="str">
        <f t="shared" si="0"/>
        <v xml:space="preserve"> 1419793</v>
      </c>
      <c r="D50">
        <v>1419793</v>
      </c>
    </row>
    <row r="51" spans="1:4" x14ac:dyDescent="0.3">
      <c r="A51" t="s">
        <v>379</v>
      </c>
      <c r="B51" t="str">
        <f t="shared" si="0"/>
        <v xml:space="preserve"> 1538850</v>
      </c>
      <c r="D51">
        <v>1538850</v>
      </c>
    </row>
    <row r="52" spans="1:4" x14ac:dyDescent="0.3">
      <c r="A52" t="s">
        <v>380</v>
      </c>
      <c r="B52" t="str">
        <f t="shared" si="0"/>
        <v xml:space="preserve"> 1384667</v>
      </c>
      <c r="D52">
        <v>1384667</v>
      </c>
    </row>
    <row r="53" spans="1:4" x14ac:dyDescent="0.3">
      <c r="A53" t="s">
        <v>381</v>
      </c>
      <c r="B53" t="str">
        <f t="shared" si="0"/>
        <v xml:space="preserve"> 1413847</v>
      </c>
      <c r="D53">
        <v>1413847</v>
      </c>
    </row>
    <row r="54" spans="1:4" x14ac:dyDescent="0.3">
      <c r="A54" t="s">
        <v>382</v>
      </c>
      <c r="B54" t="str">
        <f t="shared" si="0"/>
        <v xml:space="preserve"> 1485672</v>
      </c>
      <c r="D54">
        <v>1485672</v>
      </c>
    </row>
    <row r="55" spans="1:4" x14ac:dyDescent="0.3">
      <c r="A55" t="s">
        <v>383</v>
      </c>
      <c r="B55" t="str">
        <f t="shared" si="0"/>
        <v xml:space="preserve"> 1392646</v>
      </c>
      <c r="D55">
        <v>1392646</v>
      </c>
    </row>
    <row r="56" spans="1:4" x14ac:dyDescent="0.3">
      <c r="A56" t="s">
        <v>384</v>
      </c>
      <c r="B56" t="str">
        <f t="shared" si="0"/>
        <v xml:space="preserve"> 1424064</v>
      </c>
      <c r="D56">
        <v>1424064</v>
      </c>
    </row>
    <row r="57" spans="1:4" x14ac:dyDescent="0.3">
      <c r="A57" t="s">
        <v>385</v>
      </c>
      <c r="B57" t="str">
        <f t="shared" si="0"/>
        <v xml:space="preserve"> 1428437</v>
      </c>
      <c r="D57">
        <v>1428437</v>
      </c>
    </row>
    <row r="58" spans="1:4" x14ac:dyDescent="0.3">
      <c r="A58" t="s">
        <v>386</v>
      </c>
      <c r="B58" t="str">
        <f t="shared" si="0"/>
        <v xml:space="preserve"> 1489658</v>
      </c>
      <c r="D58">
        <v>1489658</v>
      </c>
    </row>
    <row r="59" spans="1:4" x14ac:dyDescent="0.3">
      <c r="A59" t="s">
        <v>387</v>
      </c>
      <c r="B59" t="str">
        <f t="shared" si="0"/>
        <v xml:space="preserve"> 1517474</v>
      </c>
      <c r="D59">
        <v>1517474</v>
      </c>
    </row>
    <row r="60" spans="1:4" x14ac:dyDescent="0.3">
      <c r="A60" t="s">
        <v>388</v>
      </c>
      <c r="B60" t="str">
        <f t="shared" si="0"/>
        <v xml:space="preserve"> 1429877</v>
      </c>
      <c r="D60">
        <v>1429877</v>
      </c>
    </row>
    <row r="61" spans="1:4" x14ac:dyDescent="0.3">
      <c r="A61" t="s">
        <v>389</v>
      </c>
      <c r="B61" t="str">
        <f t="shared" si="0"/>
        <v xml:space="preserve"> 1482264</v>
      </c>
      <c r="D61">
        <v>1482264</v>
      </c>
    </row>
    <row r="62" spans="1:4" x14ac:dyDescent="0.3">
      <c r="A62" t="s">
        <v>390</v>
      </c>
      <c r="B62" t="str">
        <f t="shared" si="0"/>
        <v xml:space="preserve"> 1426944</v>
      </c>
      <c r="D62">
        <v>1426944</v>
      </c>
    </row>
    <row r="64" spans="1:4" x14ac:dyDescent="0.3">
      <c r="D64">
        <f>AVERAGE(D1:D62)</f>
        <v>1354045.6935483871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56D6-399C-4B15-891E-F38D73262ACC}">
  <dimension ref="A1:D35"/>
  <sheetViews>
    <sheetView workbookViewId="0">
      <selection activeCell="D35" sqref="D35"/>
    </sheetView>
  </sheetViews>
  <sheetFormatPr baseColWidth="10" defaultRowHeight="14.4" x14ac:dyDescent="0.3"/>
  <cols>
    <col min="1" max="1" width="115.21875" customWidth="1"/>
  </cols>
  <sheetData>
    <row r="1" spans="1:4" x14ac:dyDescent="0.3">
      <c r="A1" t="s">
        <v>185</v>
      </c>
      <c r="B1" t="str">
        <f>MID(A1, FIND(", Bytes:", A1) + 8, FIND("[B/s]", A1) - FIND(", Bytes:", A1) - 8)</f>
        <v xml:space="preserve"> 1055100</v>
      </c>
      <c r="D1">
        <v>1055100</v>
      </c>
    </row>
    <row r="2" spans="1:4" x14ac:dyDescent="0.3">
      <c r="A2" t="s">
        <v>186</v>
      </c>
      <c r="B2" t="str">
        <f t="shared" ref="B2:B33" si="0">MID(A2, FIND(", Bytes:", A2) + 8, FIND("[B/s]", A2) - FIND(", Bytes:", A2) - 8)</f>
        <v xml:space="preserve"> 953820</v>
      </c>
      <c r="D2">
        <v>953820</v>
      </c>
    </row>
    <row r="3" spans="1:4" x14ac:dyDescent="0.3">
      <c r="A3" t="s">
        <v>187</v>
      </c>
      <c r="B3" t="str">
        <f t="shared" si="0"/>
        <v xml:space="preserve"> 1084280</v>
      </c>
      <c r="D3">
        <v>1084280</v>
      </c>
    </row>
    <row r="4" spans="1:4" x14ac:dyDescent="0.3">
      <c r="A4" t="s">
        <v>188</v>
      </c>
      <c r="B4" t="str">
        <f t="shared" si="0"/>
        <v xml:space="preserve"> 1088540</v>
      </c>
      <c r="D4">
        <v>1088540</v>
      </c>
    </row>
    <row r="5" spans="1:4" x14ac:dyDescent="0.3">
      <c r="A5" t="s">
        <v>189</v>
      </c>
      <c r="B5" t="str">
        <f t="shared" si="0"/>
        <v xml:space="preserve"> 1047460</v>
      </c>
      <c r="D5">
        <v>1047460</v>
      </c>
    </row>
    <row r="6" spans="1:4" x14ac:dyDescent="0.3">
      <c r="A6" t="s">
        <v>190</v>
      </c>
      <c r="B6" t="str">
        <f t="shared" si="0"/>
        <v xml:space="preserve"> 808780</v>
      </c>
      <c r="D6">
        <v>808780</v>
      </c>
    </row>
    <row r="7" spans="1:4" x14ac:dyDescent="0.3">
      <c r="A7" t="s">
        <v>191</v>
      </c>
      <c r="B7" t="str">
        <f t="shared" si="0"/>
        <v xml:space="preserve"> 949400</v>
      </c>
      <c r="D7">
        <v>949400</v>
      </c>
    </row>
    <row r="8" spans="1:4" x14ac:dyDescent="0.3">
      <c r="A8" t="s">
        <v>192</v>
      </c>
      <c r="B8" t="str">
        <f t="shared" si="0"/>
        <v xml:space="preserve"> 927360</v>
      </c>
      <c r="D8">
        <v>927360</v>
      </c>
    </row>
    <row r="9" spans="1:4" x14ac:dyDescent="0.3">
      <c r="A9" t="s">
        <v>193</v>
      </c>
      <c r="B9" t="str">
        <f t="shared" si="0"/>
        <v xml:space="preserve"> 1065280</v>
      </c>
      <c r="D9">
        <v>1065280</v>
      </c>
    </row>
    <row r="10" spans="1:4" x14ac:dyDescent="0.3">
      <c r="A10" t="s">
        <v>194</v>
      </c>
      <c r="B10" t="str">
        <f t="shared" si="0"/>
        <v xml:space="preserve"> 1106560</v>
      </c>
      <c r="D10">
        <v>1106560</v>
      </c>
    </row>
    <row r="11" spans="1:4" x14ac:dyDescent="0.3">
      <c r="A11" t="s">
        <v>195</v>
      </c>
      <c r="B11" t="str">
        <f t="shared" si="0"/>
        <v xml:space="preserve"> 1252340</v>
      </c>
      <c r="D11">
        <v>1252340</v>
      </c>
    </row>
    <row r="12" spans="1:4" x14ac:dyDescent="0.3">
      <c r="A12" t="s">
        <v>196</v>
      </c>
      <c r="B12" t="str">
        <f t="shared" si="0"/>
        <v xml:space="preserve"> 1102380</v>
      </c>
      <c r="D12">
        <v>1102380</v>
      </c>
    </row>
    <row r="13" spans="1:4" x14ac:dyDescent="0.3">
      <c r="A13" t="s">
        <v>197</v>
      </c>
      <c r="B13" t="str">
        <f t="shared" si="0"/>
        <v xml:space="preserve"> 1084400</v>
      </c>
      <c r="D13">
        <v>1084400</v>
      </c>
    </row>
    <row r="14" spans="1:4" x14ac:dyDescent="0.3">
      <c r="A14" t="s">
        <v>198</v>
      </c>
      <c r="B14" t="str">
        <f t="shared" si="0"/>
        <v xml:space="preserve"> 1078260</v>
      </c>
      <c r="D14">
        <v>1078260</v>
      </c>
    </row>
    <row r="15" spans="1:4" x14ac:dyDescent="0.3">
      <c r="A15" t="s">
        <v>199</v>
      </c>
      <c r="B15" t="str">
        <f t="shared" si="0"/>
        <v xml:space="preserve"> 963400</v>
      </c>
      <c r="D15">
        <v>963400</v>
      </c>
    </row>
    <row r="16" spans="1:4" x14ac:dyDescent="0.3">
      <c r="A16" t="s">
        <v>200</v>
      </c>
      <c r="B16" t="str">
        <f t="shared" si="0"/>
        <v xml:space="preserve"> 1082100</v>
      </c>
      <c r="D16">
        <v>1082100</v>
      </c>
    </row>
    <row r="17" spans="1:4" x14ac:dyDescent="0.3">
      <c r="A17" t="s">
        <v>201</v>
      </c>
      <c r="B17" t="str">
        <f t="shared" si="0"/>
        <v xml:space="preserve"> 1062820</v>
      </c>
      <c r="D17">
        <v>1062820</v>
      </c>
    </row>
    <row r="18" spans="1:4" x14ac:dyDescent="0.3">
      <c r="A18" t="s">
        <v>202</v>
      </c>
      <c r="B18" t="str">
        <f t="shared" si="0"/>
        <v xml:space="preserve"> 1233200</v>
      </c>
      <c r="D18">
        <v>1233200</v>
      </c>
    </row>
    <row r="19" spans="1:4" x14ac:dyDescent="0.3">
      <c r="A19" t="s">
        <v>203</v>
      </c>
      <c r="B19" t="str">
        <f t="shared" si="0"/>
        <v xml:space="preserve"> 1087860</v>
      </c>
      <c r="D19">
        <v>1087860</v>
      </c>
    </row>
    <row r="20" spans="1:4" x14ac:dyDescent="0.3">
      <c r="A20" t="s">
        <v>204</v>
      </c>
      <c r="B20" t="str">
        <f t="shared" si="0"/>
        <v xml:space="preserve"> 1085480</v>
      </c>
      <c r="D20">
        <v>1085480</v>
      </c>
    </row>
    <row r="21" spans="1:4" x14ac:dyDescent="0.3">
      <c r="A21" t="s">
        <v>205</v>
      </c>
      <c r="B21" t="str">
        <f t="shared" si="0"/>
        <v xml:space="preserve"> 991980</v>
      </c>
      <c r="D21">
        <v>991980</v>
      </c>
    </row>
    <row r="22" spans="1:4" x14ac:dyDescent="0.3">
      <c r="A22" t="s">
        <v>206</v>
      </c>
      <c r="B22" t="str">
        <f t="shared" si="0"/>
        <v xml:space="preserve"> 969960</v>
      </c>
      <c r="D22">
        <v>969960</v>
      </c>
    </row>
    <row r="23" spans="1:4" x14ac:dyDescent="0.3">
      <c r="A23" t="s">
        <v>207</v>
      </c>
      <c r="B23" t="str">
        <f t="shared" si="0"/>
        <v xml:space="preserve"> 1036060</v>
      </c>
      <c r="D23">
        <v>1036060</v>
      </c>
    </row>
    <row r="24" spans="1:4" x14ac:dyDescent="0.3">
      <c r="A24" t="s">
        <v>208</v>
      </c>
      <c r="B24" t="str">
        <f t="shared" si="0"/>
        <v xml:space="preserve"> 1099860</v>
      </c>
      <c r="D24">
        <v>1099860</v>
      </c>
    </row>
    <row r="25" spans="1:4" x14ac:dyDescent="0.3">
      <c r="A25" t="s">
        <v>209</v>
      </c>
      <c r="B25" t="str">
        <f t="shared" si="0"/>
        <v xml:space="preserve"> 1001160</v>
      </c>
      <c r="D25">
        <v>1001160</v>
      </c>
    </row>
    <row r="26" spans="1:4" x14ac:dyDescent="0.3">
      <c r="A26" t="s">
        <v>210</v>
      </c>
      <c r="B26" t="str">
        <f t="shared" si="0"/>
        <v xml:space="preserve"> 929960</v>
      </c>
      <c r="D26">
        <v>929960</v>
      </c>
    </row>
    <row r="27" spans="1:4" x14ac:dyDescent="0.3">
      <c r="A27" t="s">
        <v>211</v>
      </c>
      <c r="B27" t="str">
        <f t="shared" si="0"/>
        <v xml:space="preserve"> 890960</v>
      </c>
      <c r="D27">
        <v>890960</v>
      </c>
    </row>
    <row r="28" spans="1:4" x14ac:dyDescent="0.3">
      <c r="A28" t="s">
        <v>212</v>
      </c>
      <c r="B28" t="str">
        <f t="shared" si="0"/>
        <v xml:space="preserve"> 1120600</v>
      </c>
      <c r="D28">
        <v>1120600</v>
      </c>
    </row>
    <row r="29" spans="1:4" x14ac:dyDescent="0.3">
      <c r="A29" t="s">
        <v>213</v>
      </c>
      <c r="B29" t="str">
        <f t="shared" si="0"/>
        <v xml:space="preserve"> 992440</v>
      </c>
      <c r="D29">
        <v>992440</v>
      </c>
    </row>
    <row r="30" spans="1:4" x14ac:dyDescent="0.3">
      <c r="A30" t="s">
        <v>214</v>
      </c>
      <c r="B30" t="str">
        <f t="shared" si="0"/>
        <v xml:space="preserve"> 987580</v>
      </c>
      <c r="D30">
        <v>987580</v>
      </c>
    </row>
    <row r="31" spans="1:4" x14ac:dyDescent="0.3">
      <c r="A31" t="s">
        <v>215</v>
      </c>
      <c r="B31" t="str">
        <f t="shared" si="0"/>
        <v xml:space="preserve"> 1098280</v>
      </c>
      <c r="D31">
        <v>1098280</v>
      </c>
    </row>
    <row r="32" spans="1:4" x14ac:dyDescent="0.3">
      <c r="A32" t="s">
        <v>216</v>
      </c>
      <c r="B32" t="str">
        <f t="shared" si="0"/>
        <v xml:space="preserve"> 975120</v>
      </c>
      <c r="D32">
        <v>975120</v>
      </c>
    </row>
    <row r="33" spans="1:4" x14ac:dyDescent="0.3">
      <c r="A33" t="s">
        <v>217</v>
      </c>
      <c r="B33" t="str">
        <f t="shared" si="0"/>
        <v xml:space="preserve"> 981220</v>
      </c>
      <c r="D33">
        <v>981220</v>
      </c>
    </row>
    <row r="35" spans="1:4" x14ac:dyDescent="0.3">
      <c r="D35">
        <f>AVERAGE(D1:D33)</f>
        <v>1036181.8181818182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72D3-3241-4A07-BA46-96C653618B29}">
  <dimension ref="A1:D33"/>
  <sheetViews>
    <sheetView topLeftCell="A16" workbookViewId="0">
      <selection activeCell="D33" sqref="D33"/>
    </sheetView>
  </sheetViews>
  <sheetFormatPr baseColWidth="10" defaultRowHeight="14.4" x14ac:dyDescent="0.3"/>
  <cols>
    <col min="1" max="1" width="115.21875" customWidth="1"/>
  </cols>
  <sheetData>
    <row r="1" spans="1:4" x14ac:dyDescent="0.3">
      <c r="A1" t="s">
        <v>218</v>
      </c>
      <c r="B1" t="str">
        <f>MID(A1, FIND(", Bytes:", A1) + 8, FIND("[B/s]", A1) - FIND(", Bytes:", A1) - 8)</f>
        <v xml:space="preserve"> 800838</v>
      </c>
      <c r="D1">
        <v>800838</v>
      </c>
    </row>
    <row r="2" spans="1:4" x14ac:dyDescent="0.3">
      <c r="A2" t="s">
        <v>219</v>
      </c>
      <c r="B2" t="str">
        <f t="shared" ref="B2:B30" si="0">MID(A2, FIND(", Bytes:", A2) + 8, FIND("[B/s]", A2) - FIND(", Bytes:", A2) - 8)</f>
        <v xml:space="preserve"> 844311</v>
      </c>
      <c r="D2">
        <v>844311</v>
      </c>
    </row>
    <row r="3" spans="1:4" x14ac:dyDescent="0.3">
      <c r="A3" t="s">
        <v>220</v>
      </c>
      <c r="B3" t="str">
        <f t="shared" si="0"/>
        <v xml:space="preserve"> 835734</v>
      </c>
      <c r="D3">
        <v>835734</v>
      </c>
    </row>
    <row r="4" spans="1:4" x14ac:dyDescent="0.3">
      <c r="A4" t="s">
        <v>221</v>
      </c>
      <c r="B4" t="str">
        <f t="shared" si="0"/>
        <v xml:space="preserve"> 775161</v>
      </c>
      <c r="D4">
        <v>775161</v>
      </c>
    </row>
    <row r="5" spans="1:4" x14ac:dyDescent="0.3">
      <c r="A5" t="s">
        <v>222</v>
      </c>
      <c r="B5" t="str">
        <f t="shared" si="0"/>
        <v xml:space="preserve"> 940137</v>
      </c>
      <c r="D5">
        <v>940137</v>
      </c>
    </row>
    <row r="6" spans="1:4" x14ac:dyDescent="0.3">
      <c r="A6" t="s">
        <v>223</v>
      </c>
      <c r="B6" t="str">
        <f t="shared" si="0"/>
        <v xml:space="preserve"> 964155</v>
      </c>
      <c r="D6">
        <v>964155</v>
      </c>
    </row>
    <row r="7" spans="1:4" x14ac:dyDescent="0.3">
      <c r="A7" t="s">
        <v>224</v>
      </c>
      <c r="B7" t="str">
        <f t="shared" si="0"/>
        <v xml:space="preserve"> 813378</v>
      </c>
      <c r="D7">
        <v>813378</v>
      </c>
    </row>
    <row r="8" spans="1:4" x14ac:dyDescent="0.3">
      <c r="A8" t="s">
        <v>225</v>
      </c>
      <c r="B8" t="str">
        <f t="shared" si="0"/>
        <v xml:space="preserve"> 819936</v>
      </c>
      <c r="D8">
        <v>819936</v>
      </c>
    </row>
    <row r="9" spans="1:4" x14ac:dyDescent="0.3">
      <c r="A9" t="s">
        <v>226</v>
      </c>
      <c r="B9" t="str">
        <f t="shared" si="0"/>
        <v xml:space="preserve"> 859089</v>
      </c>
      <c r="D9">
        <v>859089</v>
      </c>
    </row>
    <row r="10" spans="1:4" x14ac:dyDescent="0.3">
      <c r="A10" t="s">
        <v>227</v>
      </c>
      <c r="B10" t="str">
        <f t="shared" si="0"/>
        <v xml:space="preserve"> 796371</v>
      </c>
      <c r="D10">
        <v>796371</v>
      </c>
    </row>
    <row r="11" spans="1:4" x14ac:dyDescent="0.3">
      <c r="A11" t="s">
        <v>228</v>
      </c>
      <c r="B11" t="str">
        <f t="shared" si="0"/>
        <v xml:space="preserve"> 982959</v>
      </c>
      <c r="D11">
        <v>982959</v>
      </c>
    </row>
    <row r="12" spans="1:4" x14ac:dyDescent="0.3">
      <c r="A12" t="s">
        <v>229</v>
      </c>
      <c r="B12" t="str">
        <f t="shared" si="0"/>
        <v xml:space="preserve"> 999492</v>
      </c>
      <c r="D12">
        <v>999492</v>
      </c>
    </row>
    <row r="13" spans="1:4" x14ac:dyDescent="0.3">
      <c r="A13" t="s">
        <v>230</v>
      </c>
      <c r="B13" t="str">
        <f t="shared" si="0"/>
        <v xml:space="preserve"> 984189</v>
      </c>
      <c r="D13">
        <v>984189</v>
      </c>
    </row>
    <row r="14" spans="1:4" x14ac:dyDescent="0.3">
      <c r="A14" t="s">
        <v>231</v>
      </c>
      <c r="B14" t="str">
        <f t="shared" si="0"/>
        <v xml:space="preserve"> 919452</v>
      </c>
      <c r="D14">
        <v>919452</v>
      </c>
    </row>
    <row r="15" spans="1:4" x14ac:dyDescent="0.3">
      <c r="A15" t="s">
        <v>232</v>
      </c>
      <c r="B15" t="str">
        <f t="shared" si="0"/>
        <v xml:space="preserve"> 924729</v>
      </c>
      <c r="D15">
        <v>924729</v>
      </c>
    </row>
    <row r="16" spans="1:4" x14ac:dyDescent="0.3">
      <c r="A16" t="s">
        <v>233</v>
      </c>
      <c r="B16" t="str">
        <f t="shared" si="0"/>
        <v xml:space="preserve"> 911811</v>
      </c>
      <c r="D16">
        <v>911811</v>
      </c>
    </row>
    <row r="17" spans="1:4" x14ac:dyDescent="0.3">
      <c r="A17" t="s">
        <v>234</v>
      </c>
      <c r="B17" t="str">
        <f t="shared" si="0"/>
        <v xml:space="preserve"> 910077</v>
      </c>
      <c r="D17">
        <v>910077</v>
      </c>
    </row>
    <row r="18" spans="1:4" x14ac:dyDescent="0.3">
      <c r="A18" t="s">
        <v>235</v>
      </c>
      <c r="B18" t="str">
        <f t="shared" si="0"/>
        <v xml:space="preserve"> 999282</v>
      </c>
      <c r="D18">
        <v>999282</v>
      </c>
    </row>
    <row r="19" spans="1:4" x14ac:dyDescent="0.3">
      <c r="A19" t="s">
        <v>236</v>
      </c>
      <c r="B19" t="str">
        <f t="shared" si="0"/>
        <v xml:space="preserve"> 1031550</v>
      </c>
      <c r="D19">
        <v>1031550</v>
      </c>
    </row>
    <row r="20" spans="1:4" x14ac:dyDescent="0.3">
      <c r="A20" t="s">
        <v>237</v>
      </c>
      <c r="B20" t="str">
        <f t="shared" si="0"/>
        <v xml:space="preserve"> 1017960</v>
      </c>
      <c r="D20">
        <v>1017960</v>
      </c>
    </row>
    <row r="21" spans="1:4" x14ac:dyDescent="0.3">
      <c r="A21" t="s">
        <v>238</v>
      </c>
      <c r="B21" t="str">
        <f t="shared" si="0"/>
        <v xml:space="preserve"> 985965</v>
      </c>
      <c r="D21">
        <v>985965</v>
      </c>
    </row>
    <row r="22" spans="1:4" x14ac:dyDescent="0.3">
      <c r="A22" t="s">
        <v>239</v>
      </c>
      <c r="B22" t="str">
        <f t="shared" si="0"/>
        <v xml:space="preserve"> 1000101</v>
      </c>
      <c r="D22">
        <v>1000101</v>
      </c>
    </row>
    <row r="23" spans="1:4" x14ac:dyDescent="0.3">
      <c r="A23" t="s">
        <v>240</v>
      </c>
      <c r="B23" t="str">
        <f t="shared" si="0"/>
        <v xml:space="preserve"> 952836</v>
      </c>
      <c r="D23">
        <v>952836</v>
      </c>
    </row>
    <row r="24" spans="1:4" x14ac:dyDescent="0.3">
      <c r="A24" t="s">
        <v>241</v>
      </c>
      <c r="B24" t="str">
        <f t="shared" si="0"/>
        <v xml:space="preserve"> 835209</v>
      </c>
      <c r="D24">
        <v>835209</v>
      </c>
    </row>
    <row r="25" spans="1:4" x14ac:dyDescent="0.3">
      <c r="A25" t="s">
        <v>242</v>
      </c>
      <c r="B25" t="str">
        <f t="shared" si="0"/>
        <v xml:space="preserve"> 853191</v>
      </c>
      <c r="D25">
        <v>853191</v>
      </c>
    </row>
    <row r="26" spans="1:4" x14ac:dyDescent="0.3">
      <c r="A26" t="s">
        <v>243</v>
      </c>
      <c r="B26" t="str">
        <f t="shared" si="0"/>
        <v xml:space="preserve"> 946770</v>
      </c>
      <c r="D26">
        <v>946770</v>
      </c>
    </row>
    <row r="27" spans="1:4" x14ac:dyDescent="0.3">
      <c r="A27" t="s">
        <v>244</v>
      </c>
      <c r="B27" t="str">
        <f t="shared" si="0"/>
        <v xml:space="preserve"> 767130</v>
      </c>
      <c r="D27">
        <v>767130</v>
      </c>
    </row>
    <row r="28" spans="1:4" x14ac:dyDescent="0.3">
      <c r="A28" t="s">
        <v>245</v>
      </c>
      <c r="B28" t="str">
        <f t="shared" si="0"/>
        <v xml:space="preserve"> 562590</v>
      </c>
      <c r="D28">
        <v>562590</v>
      </c>
    </row>
    <row r="29" spans="1:4" x14ac:dyDescent="0.3">
      <c r="A29" t="s">
        <v>246</v>
      </c>
      <c r="B29" t="str">
        <f t="shared" si="0"/>
        <v xml:space="preserve"> 850344</v>
      </c>
      <c r="D29">
        <v>850344</v>
      </c>
    </row>
    <row r="30" spans="1:4" x14ac:dyDescent="0.3">
      <c r="A30" t="s">
        <v>247</v>
      </c>
      <c r="B30" t="str">
        <f t="shared" si="0"/>
        <v xml:space="preserve"> 896907</v>
      </c>
      <c r="D30">
        <v>896907</v>
      </c>
    </row>
    <row r="33" spans="4:4" x14ac:dyDescent="0.3">
      <c r="D33">
        <f>AVERAGE(D1:D30)</f>
        <v>892721.8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293D-6F6C-49D9-AF83-1BAD8DD4E109}">
  <dimension ref="A1:D40"/>
  <sheetViews>
    <sheetView workbookViewId="0">
      <selection activeCell="D40" sqref="D40"/>
    </sheetView>
  </sheetViews>
  <sheetFormatPr baseColWidth="10" defaultRowHeight="14.4" x14ac:dyDescent="0.3"/>
  <cols>
    <col min="1" max="1" width="116.5546875" customWidth="1"/>
  </cols>
  <sheetData>
    <row r="1" spans="1:4" x14ac:dyDescent="0.3">
      <c r="A1" t="s">
        <v>248</v>
      </c>
      <c r="B1" t="str">
        <f>MID(A1, FIND(", Bytes:", A1) + 8, FIND("[B/s]", A1) - FIND(", Bytes:", A1) - 8)</f>
        <v xml:space="preserve"> 1151850</v>
      </c>
      <c r="D1">
        <v>1151850</v>
      </c>
    </row>
    <row r="2" spans="1:4" x14ac:dyDescent="0.3">
      <c r="A2" t="s">
        <v>249</v>
      </c>
      <c r="B2" t="str">
        <f t="shared" ref="B2:B38" si="0">MID(A2, FIND(", Bytes:", A2) + 8, FIND("[B/s]", A2) - FIND(", Bytes:", A2) - 8)</f>
        <v xml:space="preserve"> 1165640</v>
      </c>
      <c r="D2">
        <v>1165640</v>
      </c>
    </row>
    <row r="3" spans="1:4" x14ac:dyDescent="0.3">
      <c r="A3" t="s">
        <v>250</v>
      </c>
      <c r="B3" t="str">
        <f t="shared" si="0"/>
        <v xml:space="preserve"> 1242160</v>
      </c>
      <c r="D3">
        <v>1242160</v>
      </c>
    </row>
    <row r="4" spans="1:4" x14ac:dyDescent="0.3">
      <c r="A4" t="s">
        <v>251</v>
      </c>
      <c r="B4" t="str">
        <f t="shared" si="0"/>
        <v xml:space="preserve"> 901950</v>
      </c>
      <c r="D4">
        <v>901950</v>
      </c>
    </row>
    <row r="5" spans="1:4" x14ac:dyDescent="0.3">
      <c r="A5" t="s">
        <v>252</v>
      </c>
      <c r="B5" t="str">
        <f t="shared" si="0"/>
        <v xml:space="preserve"> 1025700</v>
      </c>
      <c r="D5">
        <v>1025700</v>
      </c>
    </row>
    <row r="6" spans="1:4" x14ac:dyDescent="0.3">
      <c r="A6" t="s">
        <v>253</v>
      </c>
      <c r="B6" t="str">
        <f t="shared" si="0"/>
        <v xml:space="preserve"> 939220</v>
      </c>
      <c r="D6">
        <v>939220</v>
      </c>
    </row>
    <row r="7" spans="1:4" x14ac:dyDescent="0.3">
      <c r="A7" t="s">
        <v>254</v>
      </c>
      <c r="B7" t="str">
        <f t="shared" si="0"/>
        <v xml:space="preserve"> 931510</v>
      </c>
      <c r="D7">
        <v>931510</v>
      </c>
    </row>
    <row r="8" spans="1:4" x14ac:dyDescent="0.3">
      <c r="A8" t="s">
        <v>255</v>
      </c>
      <c r="B8" t="str">
        <f t="shared" si="0"/>
        <v xml:space="preserve"> 890360</v>
      </c>
      <c r="D8">
        <v>890360</v>
      </c>
    </row>
    <row r="9" spans="1:4" x14ac:dyDescent="0.3">
      <c r="A9" t="s">
        <v>256</v>
      </c>
      <c r="B9" t="str">
        <f t="shared" si="0"/>
        <v xml:space="preserve"> 889010</v>
      </c>
      <c r="D9">
        <v>889010</v>
      </c>
    </row>
    <row r="10" spans="1:4" x14ac:dyDescent="0.3">
      <c r="A10" t="s">
        <v>257</v>
      </c>
      <c r="B10" t="str">
        <f t="shared" si="0"/>
        <v xml:space="preserve"> 872340</v>
      </c>
      <c r="D10">
        <v>872340</v>
      </c>
    </row>
    <row r="11" spans="1:4" x14ac:dyDescent="0.3">
      <c r="A11" t="s">
        <v>258</v>
      </c>
      <c r="B11" t="str">
        <f t="shared" si="0"/>
        <v xml:space="preserve"> 1049010</v>
      </c>
      <c r="D11">
        <v>1049010</v>
      </c>
    </row>
    <row r="12" spans="1:4" x14ac:dyDescent="0.3">
      <c r="A12" t="s">
        <v>259</v>
      </c>
      <c r="B12" t="str">
        <f t="shared" si="0"/>
        <v xml:space="preserve"> 751120</v>
      </c>
      <c r="D12">
        <v>751120</v>
      </c>
    </row>
    <row r="13" spans="1:4" x14ac:dyDescent="0.3">
      <c r="A13" t="s">
        <v>260</v>
      </c>
      <c r="B13" t="str">
        <f t="shared" si="0"/>
        <v xml:space="preserve"> 780780</v>
      </c>
      <c r="D13">
        <v>780780</v>
      </c>
    </row>
    <row r="14" spans="1:4" x14ac:dyDescent="0.3">
      <c r="A14" t="s">
        <v>261</v>
      </c>
      <c r="B14" t="str">
        <f t="shared" si="0"/>
        <v xml:space="preserve"> 907200</v>
      </c>
      <c r="D14">
        <v>907200</v>
      </c>
    </row>
    <row r="15" spans="1:4" x14ac:dyDescent="0.3">
      <c r="A15" t="s">
        <v>262</v>
      </c>
      <c r="B15" t="str">
        <f t="shared" si="0"/>
        <v xml:space="preserve"> 629020</v>
      </c>
      <c r="D15">
        <v>629020</v>
      </c>
    </row>
    <row r="16" spans="1:4" x14ac:dyDescent="0.3">
      <c r="A16" t="s">
        <v>263</v>
      </c>
      <c r="B16" t="str">
        <f t="shared" si="0"/>
        <v xml:space="preserve"> 1056150</v>
      </c>
      <c r="D16">
        <v>1056150</v>
      </c>
    </row>
    <row r="17" spans="1:4" x14ac:dyDescent="0.3">
      <c r="A17" t="s">
        <v>264</v>
      </c>
      <c r="B17" t="str">
        <f t="shared" si="0"/>
        <v xml:space="preserve"> 1114040</v>
      </c>
      <c r="D17">
        <v>1114040</v>
      </c>
    </row>
    <row r="18" spans="1:4" x14ac:dyDescent="0.3">
      <c r="A18" t="s">
        <v>265</v>
      </c>
      <c r="B18" t="str">
        <f t="shared" si="0"/>
        <v xml:space="preserve"> 1048490</v>
      </c>
      <c r="D18">
        <v>1048490</v>
      </c>
    </row>
    <row r="19" spans="1:4" x14ac:dyDescent="0.3">
      <c r="A19" t="s">
        <v>266</v>
      </c>
      <c r="B19" t="str">
        <f t="shared" si="0"/>
        <v xml:space="preserve"> 1106090</v>
      </c>
      <c r="D19">
        <v>1106090</v>
      </c>
    </row>
    <row r="20" spans="1:4" x14ac:dyDescent="0.3">
      <c r="A20" t="s">
        <v>267</v>
      </c>
      <c r="B20" t="str">
        <f t="shared" si="0"/>
        <v xml:space="preserve"> 1100610</v>
      </c>
      <c r="D20">
        <v>1100610</v>
      </c>
    </row>
    <row r="21" spans="1:4" x14ac:dyDescent="0.3">
      <c r="A21" t="s">
        <v>268</v>
      </c>
      <c r="B21" t="str">
        <f t="shared" si="0"/>
        <v xml:space="preserve"> 841950</v>
      </c>
      <c r="D21">
        <v>841950</v>
      </c>
    </row>
    <row r="22" spans="1:4" x14ac:dyDescent="0.3">
      <c r="A22" t="s">
        <v>269</v>
      </c>
      <c r="B22" t="str">
        <f t="shared" si="0"/>
        <v xml:space="preserve"> 651470</v>
      </c>
      <c r="D22">
        <v>651470</v>
      </c>
    </row>
    <row r="23" spans="1:4" x14ac:dyDescent="0.3">
      <c r="A23" t="s">
        <v>270</v>
      </c>
      <c r="B23" t="str">
        <f t="shared" si="0"/>
        <v xml:space="preserve"> 896440</v>
      </c>
      <c r="D23">
        <v>896440</v>
      </c>
    </row>
    <row r="24" spans="1:4" x14ac:dyDescent="0.3">
      <c r="A24" t="s">
        <v>271</v>
      </c>
      <c r="B24" t="str">
        <f t="shared" si="0"/>
        <v xml:space="preserve"> 854970</v>
      </c>
      <c r="D24">
        <v>854970</v>
      </c>
    </row>
    <row r="25" spans="1:4" x14ac:dyDescent="0.3">
      <c r="A25" t="s">
        <v>272</v>
      </c>
      <c r="B25" t="str">
        <f t="shared" si="0"/>
        <v xml:space="preserve"> 846880</v>
      </c>
      <c r="D25">
        <v>846880</v>
      </c>
    </row>
    <row r="26" spans="1:4" x14ac:dyDescent="0.3">
      <c r="A26" t="s">
        <v>273</v>
      </c>
      <c r="B26" t="str">
        <f t="shared" si="0"/>
        <v xml:space="preserve"> 800790</v>
      </c>
      <c r="D26">
        <v>800790</v>
      </c>
    </row>
    <row r="27" spans="1:4" x14ac:dyDescent="0.3">
      <c r="A27" t="s">
        <v>274</v>
      </c>
      <c r="B27" t="str">
        <f t="shared" si="0"/>
        <v xml:space="preserve"> 771940</v>
      </c>
      <c r="D27">
        <v>771940</v>
      </c>
    </row>
    <row r="28" spans="1:4" x14ac:dyDescent="0.3">
      <c r="A28" t="s">
        <v>275</v>
      </c>
      <c r="B28" t="str">
        <f t="shared" si="0"/>
        <v xml:space="preserve"> 949080</v>
      </c>
      <c r="D28">
        <v>949080</v>
      </c>
    </row>
    <row r="29" spans="1:4" x14ac:dyDescent="0.3">
      <c r="A29" t="s">
        <v>276</v>
      </c>
      <c r="B29" t="str">
        <f t="shared" si="0"/>
        <v xml:space="preserve"> 1077060</v>
      </c>
      <c r="D29">
        <v>1077060</v>
      </c>
    </row>
    <row r="30" spans="1:4" x14ac:dyDescent="0.3">
      <c r="A30" t="s">
        <v>277</v>
      </c>
      <c r="B30" t="str">
        <f t="shared" si="0"/>
        <v xml:space="preserve"> 987960</v>
      </c>
      <c r="D30">
        <v>987960</v>
      </c>
    </row>
    <row r="31" spans="1:4" x14ac:dyDescent="0.3">
      <c r="A31" t="s">
        <v>278</v>
      </c>
      <c r="B31" t="str">
        <f t="shared" si="0"/>
        <v xml:space="preserve"> 1124180</v>
      </c>
      <c r="D31">
        <v>1124180</v>
      </c>
    </row>
    <row r="32" spans="1:4" x14ac:dyDescent="0.3">
      <c r="A32" t="s">
        <v>279</v>
      </c>
      <c r="B32" t="str">
        <f t="shared" si="0"/>
        <v xml:space="preserve"> 1379230</v>
      </c>
      <c r="D32">
        <v>1379230</v>
      </c>
    </row>
    <row r="33" spans="1:4" x14ac:dyDescent="0.3">
      <c r="A33" t="s">
        <v>280</v>
      </c>
      <c r="B33" t="str">
        <f t="shared" si="0"/>
        <v xml:space="preserve"> 1313020</v>
      </c>
      <c r="D33">
        <v>1313020</v>
      </c>
    </row>
    <row r="34" spans="1:4" x14ac:dyDescent="0.3">
      <c r="A34" t="s">
        <v>281</v>
      </c>
      <c r="B34" t="str">
        <f t="shared" si="0"/>
        <v xml:space="preserve"> 1385810</v>
      </c>
      <c r="D34">
        <v>1385810</v>
      </c>
    </row>
    <row r="35" spans="1:4" x14ac:dyDescent="0.3">
      <c r="A35" t="s">
        <v>282</v>
      </c>
      <c r="B35" t="str">
        <f t="shared" si="0"/>
        <v xml:space="preserve"> 1382567</v>
      </c>
      <c r="D35">
        <v>1382567</v>
      </c>
    </row>
    <row r="36" spans="1:4" x14ac:dyDescent="0.3">
      <c r="A36" t="s">
        <v>283</v>
      </c>
      <c r="B36" t="str">
        <f t="shared" si="0"/>
        <v xml:space="preserve"> 1250413</v>
      </c>
      <c r="D36">
        <v>1250413</v>
      </c>
    </row>
    <row r="37" spans="1:4" x14ac:dyDescent="0.3">
      <c r="A37" t="s">
        <v>284</v>
      </c>
      <c r="B37" t="str">
        <f t="shared" si="0"/>
        <v xml:space="preserve"> 1341430</v>
      </c>
      <c r="D37">
        <v>1341430</v>
      </c>
    </row>
    <row r="38" spans="1:4" x14ac:dyDescent="0.3">
      <c r="A38" t="s">
        <v>285</v>
      </c>
      <c r="B38" t="str">
        <f t="shared" si="0"/>
        <v xml:space="preserve"> 1458770</v>
      </c>
      <c r="D38">
        <v>1458770</v>
      </c>
    </row>
    <row r="40" spans="1:4" x14ac:dyDescent="0.3">
      <c r="D40">
        <f>AVERAGE(D1:D38)</f>
        <v>1022795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2436-3F40-4C41-84DA-2C2DEFB0B92D}">
  <dimension ref="A1:D45"/>
  <sheetViews>
    <sheetView workbookViewId="0">
      <selection activeCell="D45" sqref="D45"/>
    </sheetView>
  </sheetViews>
  <sheetFormatPr baseColWidth="10" defaultRowHeight="14.4" x14ac:dyDescent="0.3"/>
  <cols>
    <col min="1" max="1" width="117.77734375" customWidth="1"/>
  </cols>
  <sheetData>
    <row r="1" spans="1:4" x14ac:dyDescent="0.3">
      <c r="A1" t="s">
        <v>286</v>
      </c>
      <c r="B1" t="str">
        <f>MID(A1, FIND(", Bytes:", A1) + 8, FIND("[B/s]", A1) - FIND(", Bytes:", A1) - 8)</f>
        <v xml:space="preserve"> 1094777</v>
      </c>
      <c r="D1">
        <v>1094777</v>
      </c>
    </row>
    <row r="2" spans="1:4" x14ac:dyDescent="0.3">
      <c r="A2" t="s">
        <v>287</v>
      </c>
      <c r="B2" t="str">
        <f t="shared" ref="B2:B43" si="0">MID(A2, FIND(", Bytes:", A2) + 8, FIND("[B/s]", A2) - FIND(", Bytes:", A2) - 8)</f>
        <v xml:space="preserve"> 1106962</v>
      </c>
      <c r="D2">
        <v>1106962</v>
      </c>
    </row>
    <row r="3" spans="1:4" x14ac:dyDescent="0.3">
      <c r="A3" t="s">
        <v>288</v>
      </c>
      <c r="B3" t="str">
        <f t="shared" si="0"/>
        <v xml:space="preserve"> 1189391</v>
      </c>
      <c r="D3">
        <v>1189391</v>
      </c>
    </row>
    <row r="4" spans="1:4" x14ac:dyDescent="0.3">
      <c r="A4" t="s">
        <v>289</v>
      </c>
      <c r="B4" t="str">
        <f t="shared" si="0"/>
        <v xml:space="preserve"> 1222866</v>
      </c>
      <c r="D4">
        <v>1222866</v>
      </c>
    </row>
    <row r="5" spans="1:4" x14ac:dyDescent="0.3">
      <c r="A5" t="s">
        <v>290</v>
      </c>
      <c r="B5" t="str">
        <f t="shared" si="0"/>
        <v xml:space="preserve"> 1438615</v>
      </c>
      <c r="D5">
        <v>1438615</v>
      </c>
    </row>
    <row r="6" spans="1:4" x14ac:dyDescent="0.3">
      <c r="A6" t="s">
        <v>291</v>
      </c>
      <c r="B6" t="str">
        <f t="shared" si="0"/>
        <v xml:space="preserve"> 1385128</v>
      </c>
      <c r="D6">
        <v>1385128</v>
      </c>
    </row>
    <row r="7" spans="1:4" x14ac:dyDescent="0.3">
      <c r="A7" t="s">
        <v>292</v>
      </c>
      <c r="B7" t="str">
        <f t="shared" si="0"/>
        <v xml:space="preserve"> 1277147</v>
      </c>
      <c r="D7">
        <v>1277147</v>
      </c>
    </row>
    <row r="8" spans="1:4" x14ac:dyDescent="0.3">
      <c r="A8" t="s">
        <v>293</v>
      </c>
      <c r="B8" t="str">
        <f t="shared" si="0"/>
        <v xml:space="preserve"> 1368042</v>
      </c>
      <c r="D8">
        <v>1368042</v>
      </c>
    </row>
    <row r="9" spans="1:4" x14ac:dyDescent="0.3">
      <c r="A9" t="s">
        <v>294</v>
      </c>
      <c r="B9" t="str">
        <f t="shared" si="0"/>
        <v xml:space="preserve"> 1409905</v>
      </c>
      <c r="D9">
        <v>1409905</v>
      </c>
    </row>
    <row r="10" spans="1:4" x14ac:dyDescent="0.3">
      <c r="A10" t="s">
        <v>295</v>
      </c>
      <c r="B10" t="str">
        <f t="shared" si="0"/>
        <v xml:space="preserve"> 1340914</v>
      </c>
      <c r="D10">
        <v>1340914</v>
      </c>
    </row>
    <row r="11" spans="1:4" x14ac:dyDescent="0.3">
      <c r="A11" t="s">
        <v>296</v>
      </c>
      <c r="B11" t="str">
        <f t="shared" si="0"/>
        <v xml:space="preserve"> 1299729</v>
      </c>
      <c r="D11">
        <v>1299729</v>
      </c>
    </row>
    <row r="12" spans="1:4" x14ac:dyDescent="0.3">
      <c r="A12" t="s">
        <v>297</v>
      </c>
      <c r="B12" t="str">
        <f t="shared" si="0"/>
        <v xml:space="preserve"> 1345260</v>
      </c>
      <c r="D12">
        <v>1345260</v>
      </c>
    </row>
    <row r="13" spans="1:4" x14ac:dyDescent="0.3">
      <c r="A13" t="s">
        <v>298</v>
      </c>
      <c r="B13" t="str">
        <f t="shared" si="0"/>
        <v xml:space="preserve"> 1324493</v>
      </c>
      <c r="D13">
        <v>1324493</v>
      </c>
    </row>
    <row r="14" spans="1:4" x14ac:dyDescent="0.3">
      <c r="A14" t="s">
        <v>299</v>
      </c>
      <c r="B14" t="str">
        <f t="shared" si="0"/>
        <v xml:space="preserve"> 1168979</v>
      </c>
      <c r="D14">
        <v>1168979</v>
      </c>
    </row>
    <row r="15" spans="1:4" x14ac:dyDescent="0.3">
      <c r="A15" t="s">
        <v>300</v>
      </c>
      <c r="B15" t="str">
        <f t="shared" si="0"/>
        <v xml:space="preserve"> 1373989</v>
      </c>
      <c r="D15">
        <v>1373989</v>
      </c>
    </row>
    <row r="16" spans="1:4" x14ac:dyDescent="0.3">
      <c r="A16" t="s">
        <v>301</v>
      </c>
      <c r="B16" t="str">
        <f t="shared" si="0"/>
        <v xml:space="preserve"> 1439732</v>
      </c>
      <c r="D16">
        <v>1439732</v>
      </c>
    </row>
    <row r="17" spans="1:4" x14ac:dyDescent="0.3">
      <c r="A17" t="s">
        <v>302</v>
      </c>
      <c r="B17" t="str">
        <f t="shared" si="0"/>
        <v xml:space="preserve"> 1444420</v>
      </c>
      <c r="D17">
        <v>1444420</v>
      </c>
    </row>
    <row r="18" spans="1:4" x14ac:dyDescent="0.3">
      <c r="A18" t="s">
        <v>303</v>
      </c>
      <c r="B18" t="str">
        <f t="shared" si="0"/>
        <v xml:space="preserve"> 1394530</v>
      </c>
      <c r="D18">
        <v>1394530</v>
      </c>
    </row>
    <row r="19" spans="1:4" x14ac:dyDescent="0.3">
      <c r="A19" t="s">
        <v>304</v>
      </c>
      <c r="B19" t="str">
        <f t="shared" si="0"/>
        <v xml:space="preserve"> 1436781</v>
      </c>
      <c r="D19">
        <v>1436781</v>
      </c>
    </row>
    <row r="20" spans="1:4" x14ac:dyDescent="0.3">
      <c r="A20" t="s">
        <v>305</v>
      </c>
      <c r="B20" t="str">
        <f t="shared" si="0"/>
        <v xml:space="preserve"> 1509840</v>
      </c>
      <c r="D20">
        <v>1509840</v>
      </c>
    </row>
    <row r="21" spans="1:4" x14ac:dyDescent="0.3">
      <c r="A21" t="s">
        <v>306</v>
      </c>
      <c r="B21" t="str">
        <f t="shared" si="0"/>
        <v xml:space="preserve"> 1331086</v>
      </c>
      <c r="D21">
        <v>1331086</v>
      </c>
    </row>
    <row r="22" spans="1:4" x14ac:dyDescent="0.3">
      <c r="A22" t="s">
        <v>307</v>
      </c>
      <c r="B22" t="str">
        <f t="shared" si="0"/>
        <v xml:space="preserve"> 1445860</v>
      </c>
      <c r="D22">
        <v>1445860</v>
      </c>
    </row>
    <row r="23" spans="1:4" x14ac:dyDescent="0.3">
      <c r="A23" t="s">
        <v>308</v>
      </c>
      <c r="B23" t="str">
        <f t="shared" si="0"/>
        <v xml:space="preserve"> 1411810</v>
      </c>
      <c r="D23">
        <v>1411810</v>
      </c>
    </row>
    <row r="24" spans="1:4" x14ac:dyDescent="0.3">
      <c r="A24" t="s">
        <v>309</v>
      </c>
      <c r="B24" t="str">
        <f t="shared" si="0"/>
        <v xml:space="preserve"> 1381441</v>
      </c>
      <c r="D24">
        <v>1381441</v>
      </c>
    </row>
    <row r="25" spans="1:4" x14ac:dyDescent="0.3">
      <c r="A25" t="s">
        <v>310</v>
      </c>
      <c r="B25" t="str">
        <f t="shared" si="0"/>
        <v xml:space="preserve"> 1401207</v>
      </c>
      <c r="D25">
        <v>1401207</v>
      </c>
    </row>
    <row r="26" spans="1:4" x14ac:dyDescent="0.3">
      <c r="A26" t="s">
        <v>311</v>
      </c>
      <c r="B26" t="str">
        <f t="shared" si="0"/>
        <v xml:space="preserve"> 1495834</v>
      </c>
      <c r="D26">
        <v>1495834</v>
      </c>
    </row>
    <row r="27" spans="1:4" x14ac:dyDescent="0.3">
      <c r="A27" t="s">
        <v>312</v>
      </c>
      <c r="B27" t="str">
        <f t="shared" si="0"/>
        <v xml:space="preserve"> 1538511</v>
      </c>
      <c r="D27">
        <v>1538511</v>
      </c>
    </row>
    <row r="28" spans="1:4" x14ac:dyDescent="0.3">
      <c r="A28" t="s">
        <v>313</v>
      </c>
      <c r="B28" t="str">
        <f t="shared" si="0"/>
        <v xml:space="preserve"> 1392683</v>
      </c>
      <c r="D28">
        <v>1392683</v>
      </c>
    </row>
    <row r="29" spans="1:4" x14ac:dyDescent="0.3">
      <c r="A29" t="s">
        <v>314</v>
      </c>
      <c r="B29" t="str">
        <f t="shared" si="0"/>
        <v xml:space="preserve"> 1478257</v>
      </c>
      <c r="D29">
        <v>1478257</v>
      </c>
    </row>
    <row r="30" spans="1:4" x14ac:dyDescent="0.3">
      <c r="A30" t="s">
        <v>315</v>
      </c>
      <c r="B30" t="str">
        <f t="shared" si="0"/>
        <v xml:space="preserve"> 1525525</v>
      </c>
      <c r="D30">
        <v>1525525</v>
      </c>
    </row>
    <row r="31" spans="1:4" x14ac:dyDescent="0.3">
      <c r="A31" t="s">
        <v>316</v>
      </c>
      <c r="B31" t="str">
        <f t="shared" si="0"/>
        <v xml:space="preserve"> 1437485</v>
      </c>
      <c r="D31">
        <v>1437485</v>
      </c>
    </row>
    <row r="32" spans="1:4" x14ac:dyDescent="0.3">
      <c r="A32" t="s">
        <v>317</v>
      </c>
      <c r="B32" t="str">
        <f t="shared" si="0"/>
        <v xml:space="preserve"> 1549495</v>
      </c>
      <c r="D32">
        <v>1549495</v>
      </c>
    </row>
    <row r="33" spans="1:4" x14ac:dyDescent="0.3">
      <c r="A33" t="s">
        <v>318</v>
      </c>
      <c r="B33" t="str">
        <f t="shared" si="0"/>
        <v xml:space="preserve"> 1349638</v>
      </c>
      <c r="D33">
        <v>1349638</v>
      </c>
    </row>
    <row r="34" spans="1:4" x14ac:dyDescent="0.3">
      <c r="A34" t="s">
        <v>319</v>
      </c>
      <c r="B34" t="str">
        <f t="shared" si="0"/>
        <v xml:space="preserve"> 1405217</v>
      </c>
      <c r="D34">
        <v>1405217</v>
      </c>
    </row>
    <row r="35" spans="1:4" x14ac:dyDescent="0.3">
      <c r="A35" t="s">
        <v>320</v>
      </c>
      <c r="B35" t="str">
        <f t="shared" si="0"/>
        <v xml:space="preserve"> 1486587</v>
      </c>
      <c r="D35">
        <v>1486587</v>
      </c>
    </row>
    <row r="36" spans="1:4" x14ac:dyDescent="0.3">
      <c r="A36" t="s">
        <v>321</v>
      </c>
      <c r="B36" t="str">
        <f t="shared" si="0"/>
        <v xml:space="preserve"> 1506069</v>
      </c>
      <c r="D36">
        <v>1506069</v>
      </c>
    </row>
    <row r="37" spans="1:4" x14ac:dyDescent="0.3">
      <c r="A37" t="s">
        <v>322</v>
      </c>
      <c r="B37" t="str">
        <f t="shared" si="0"/>
        <v xml:space="preserve"> 1496751</v>
      </c>
      <c r="D37">
        <v>1496751</v>
      </c>
    </row>
    <row r="38" spans="1:4" x14ac:dyDescent="0.3">
      <c r="A38" t="s">
        <v>323</v>
      </c>
      <c r="B38" t="str">
        <f t="shared" si="0"/>
        <v xml:space="preserve"> 1547758</v>
      </c>
      <c r="D38">
        <v>1547758</v>
      </c>
    </row>
    <row r="39" spans="1:4" x14ac:dyDescent="0.3">
      <c r="A39" t="s">
        <v>324</v>
      </c>
      <c r="B39" t="str">
        <f t="shared" si="0"/>
        <v xml:space="preserve"> 1425700</v>
      </c>
      <c r="D39">
        <v>1425700</v>
      </c>
    </row>
    <row r="40" spans="1:4" x14ac:dyDescent="0.3">
      <c r="A40" t="s">
        <v>325</v>
      </c>
      <c r="B40" t="str">
        <f t="shared" si="0"/>
        <v xml:space="preserve"> 1307652</v>
      </c>
      <c r="D40">
        <v>1307652</v>
      </c>
    </row>
    <row r="41" spans="1:4" x14ac:dyDescent="0.3">
      <c r="A41" t="s">
        <v>326</v>
      </c>
      <c r="B41" t="str">
        <f t="shared" si="0"/>
        <v xml:space="preserve"> 1378451</v>
      </c>
      <c r="D41">
        <v>1378451</v>
      </c>
    </row>
    <row r="42" spans="1:4" x14ac:dyDescent="0.3">
      <c r="A42" t="s">
        <v>327</v>
      </c>
      <c r="B42" t="str">
        <f t="shared" si="0"/>
        <v xml:space="preserve"> 1417880</v>
      </c>
      <c r="D42">
        <v>1417880</v>
      </c>
    </row>
    <row r="43" spans="1:4" x14ac:dyDescent="0.3">
      <c r="A43" t="s">
        <v>328</v>
      </c>
      <c r="B43" t="str">
        <f t="shared" si="0"/>
        <v xml:space="preserve"> 1508949</v>
      </c>
      <c r="D43">
        <v>1508949</v>
      </c>
    </row>
    <row r="45" spans="1:4" x14ac:dyDescent="0.3">
      <c r="D45">
        <f>AVERAGE(D1:D43)</f>
        <v>1390496.4186046512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Summary (2)</vt:lpstr>
      <vt:lpstr>Summary</vt:lpstr>
      <vt:lpstr>Tabelle12</vt:lpstr>
      <vt:lpstr>128 bytes</vt:lpstr>
      <vt:lpstr>256 bytes</vt:lpstr>
      <vt:lpstr>512 bytes</vt:lpstr>
      <vt:lpstr>1024 bytes</vt:lpstr>
      <vt:lpstr>1459 bytes</vt:lpstr>
      <vt:lpstr>1059 v2</vt:lpstr>
      <vt:lpstr>1460 bytes</vt:lpstr>
      <vt:lpstr>1461 bytes</vt:lpstr>
      <vt:lpstr>1970 bytes</vt:lpstr>
      <vt:lpstr>2047 bytes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2024-11-07T13:11:40Z</dcterms:created>
  <dcterms:modified xsi:type="dcterms:W3CDTF">2024-11-08T15:56:38Z</dcterms:modified>
</cp:coreProperties>
</file>